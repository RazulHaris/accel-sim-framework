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 Snake paper" sheetId="1" state="visible" r:id="rId1"/>
    <sheet name="vs SnakeCharmer" sheetId="2" state="visible" r:id="rId2"/>
    <sheet name="Per 100 prefetched sectors" sheetId="3" state="visible" r:id="rId3"/>
    <sheet name="Best Snake vs no prefetching" sheetId="4" state="visible" r:id="rId4"/>
    <sheet name="Footnotes" sheetId="5" state="visible" r:id="rId5"/>
    <sheet name="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+0.0&quot;%&quot;;-0.0&quot;%&quot;;0.0&quot;%&quot;"/>
    <numFmt numFmtId="166" formatCode="0.0"/>
    <numFmt numFmtId="167" formatCode="#,##0.0"/>
  </numFmts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4DFEC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164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165" fontId="0" fillId="3" borderId="0" pivotButton="0" quotePrefix="0" xfId="0"/>
    <xf numFmtId="3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166" fontId="0" fillId="0" borderId="0" pivotButton="0" quotePrefix="0" xfId="0"/>
    <xf numFmtId="0" fontId="0" fillId="6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525000" cy="535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525000" cy="535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9525000" cy="535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9525000" cy="535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6" customWidth="1" min="2" max="2"/>
    <col width="40" customWidth="1" min="3" max="3"/>
    <col width="41" customWidth="1" min="4" max="4"/>
    <col width="34" customWidth="1" min="5" max="5"/>
    <col width="38" customWidth="1" min="6" max="6"/>
    <col width="26" customWidth="1" min="7" max="7"/>
    <col width="14" customWidth="1" min="8" max="8"/>
    <col width="20" customWidth="1" min="9" max="9"/>
    <col width="17" customWidth="1" min="10" max="10"/>
    <col width="14" customWidth="1" min="11" max="11"/>
    <col width="37" customWidth="1" min="12" max="12"/>
    <col width="34" customWidth="1" min="13" max="13"/>
    <col width="25" customWidth="1" min="14" max="14"/>
    <col width="50" customWidth="1" min="15" max="15"/>
  </cols>
  <sheetData>
    <row r="1">
      <c r="A1" s="1" t="inlineStr">
        <is>
          <t>Slide 1. Our Snake vs the Snake paper (Mostofi et al., MICRO 2023). Tier 1: PAPER_V100 (QV100 config, the Snake paper's V100): 80 SMs, GTO, 1530 MHz, 1B instructions (-gpgpu_max_insn 1000000000; whole run if shorter), Snake = exact footprint, default config; 7 apps, 9 workloads.</t>
        </is>
      </c>
    </row>
    <row r="2">
      <c r="A2" s="1" t="inlineStr">
        <is>
          <t>Coverage and accuracy in % of demand sectors (paper definitions, SPEC OQ-14); IPC gain vs no prefetching. Definitions: Footnotes; every value's source: Provenance.</t>
        </is>
      </c>
    </row>
    <row r="3">
      <c r="A3" s="2" t="inlineStr">
        <is>
          <t>workload</t>
        </is>
      </c>
      <c r="B3" s="2" t="inlineStr">
        <is>
          <t>paper coverage (Fig. 16)</t>
        </is>
      </c>
      <c r="C3" s="2" t="inlineStr">
        <is>
          <t>our predicted coverage (coverage_pred)</t>
        </is>
      </c>
      <c r="D3" s="2" t="inlineStr">
        <is>
          <t>our delivered coverage (coverage_paper)</t>
        </is>
      </c>
      <c r="E3" s="2" t="inlineStr">
        <is>
          <t>paper accuracy, timely (Fig. 17)</t>
        </is>
      </c>
      <c r="F3" s="2" t="inlineStr">
        <is>
          <t>our timely accuracy (accuracy_paper)</t>
        </is>
      </c>
      <c r="G3" s="2" t="inlineStr">
        <is>
          <t>paper IPC gain (Fig. 18)</t>
        </is>
      </c>
      <c r="H3" s="2" t="inlineStr">
        <is>
          <t>our IPC gain</t>
        </is>
      </c>
      <c r="I3" s="2" t="inlineStr">
        <is>
          <t>perfect-L1 ceiling</t>
        </is>
      </c>
      <c r="J3" s="2" t="inlineStr">
        <is>
          <t>L1 hit baseline</t>
        </is>
      </c>
      <c r="K3" s="2" t="inlineStr">
        <is>
          <t>L1 hit Snake</t>
        </is>
      </c>
      <c r="L3" s="2" t="inlineStr">
        <is>
          <t>paper L1 hit baseline (Fig. 25 avg)</t>
        </is>
      </c>
      <c r="M3" s="2" t="inlineStr">
        <is>
          <t>paper L1 hit Snake (Fig. 25 avg)</t>
        </is>
      </c>
      <c r="N3" s="2" t="inlineStr">
        <is>
          <t>Status</t>
        </is>
      </c>
      <c r="O3" s="2" t="inlineStr">
        <is>
          <t>Notes</t>
        </is>
      </c>
    </row>
    <row r="4">
      <c r="A4" t="inlineStr">
        <is>
          <t>backprop</t>
        </is>
      </c>
      <c r="B4" s="3" t="n">
        <v>83</v>
      </c>
      <c r="C4" s="3" t="n">
        <v>64.6324663055219</v>
      </c>
      <c r="D4" s="3" t="n">
        <v>12.44328690287763</v>
      </c>
      <c r="E4" s="3" t="n">
        <v>68</v>
      </c>
      <c r="F4" s="3" t="n">
        <v>0.2220824874879855</v>
      </c>
      <c r="G4" s="4" t="n">
        <v>1</v>
      </c>
      <c r="H4" s="4" t="n">
        <v>-0.2025773966327971</v>
      </c>
      <c r="I4" s="5" t="n">
        <v>41.67656667626891</v>
      </c>
      <c r="J4" s="3" t="n">
        <v>41.70062870372555</v>
      </c>
      <c r="K4" s="3" t="n">
        <v>42.26614406331966</v>
      </c>
      <c r="L4" t="inlineStr">
        <is>
          <t>n/a</t>
        </is>
      </c>
      <c r="M4" t="inlineStr">
        <is>
          <t>n/a</t>
        </is>
      </c>
      <c r="N4" s="6" t="inlineStr">
        <is>
          <t>Verified (1B final run)</t>
        </is>
      </c>
      <c r="O4" t="inlineStr">
        <is>
          <t>paper values per app, read off bar charts (±3 pp); paper L1 hit: n/a, Fig. 25 gives only the average over the paper's 11 apps</t>
        </is>
      </c>
    </row>
    <row r="5">
      <c r="A5" t="inlineStr">
        <is>
          <t>hotspot 1024</t>
        </is>
      </c>
      <c r="B5" s="3" t="n">
        <v>88</v>
      </c>
      <c r="C5" s="3" t="n">
        <v>93.26663216606291</v>
      </c>
      <c r="D5" s="3" t="n">
        <v>69.08012765223391</v>
      </c>
      <c r="E5" s="3" t="n">
        <v>85</v>
      </c>
      <c r="F5" s="3" t="n">
        <v>27.04229199010983</v>
      </c>
      <c r="G5" s="5" t="n">
        <v>13</v>
      </c>
      <c r="H5" s="4" t="n">
        <v>0.1645033269040974</v>
      </c>
      <c r="I5" s="4" t="n">
        <v>0.1262401233267374</v>
      </c>
      <c r="J5" s="3" t="n">
        <v>0.6573802541544477</v>
      </c>
      <c r="K5" s="3" t="n">
        <v>27.85880627910988</v>
      </c>
      <c r="L5" t="inlineStr">
        <is>
          <t>n/a</t>
        </is>
      </c>
      <c r="M5" t="inlineStr">
        <is>
          <t>n/a</t>
        </is>
      </c>
      <c r="N5" s="6" t="inlineStr">
        <is>
          <t>Verified (1B final run)</t>
        </is>
      </c>
      <c r="O5" t="inlineStr">
        <is>
          <t>paper values per app, read off bar charts (±3 pp); both inputs share the paper's app value; paper L1 hit: n/a, Fig. 25 gives only the average over the paper's 11 apps</t>
        </is>
      </c>
    </row>
    <row r="6">
      <c r="A6" t="inlineStr">
        <is>
          <t>hotspot 512</t>
        </is>
      </c>
      <c r="B6" s="3" t="n">
        <v>88</v>
      </c>
      <c r="C6" s="3" t="n">
        <v>90.64323761000463</v>
      </c>
      <c r="D6" s="3" t="n">
        <v>59.51366373320982</v>
      </c>
      <c r="E6" s="3" t="n">
        <v>85</v>
      </c>
      <c r="F6" s="3" t="n">
        <v>26.38490041685966</v>
      </c>
      <c r="G6" s="5" t="n">
        <v>13</v>
      </c>
      <c r="H6" s="4" t="n">
        <v>0.1271509043242247</v>
      </c>
      <c r="I6" s="4" t="n">
        <v>0.3312789682390127</v>
      </c>
      <c r="J6" s="3" t="n">
        <v>0.1864289022695692</v>
      </c>
      <c r="K6" s="3" t="n">
        <v>26.56206577119037</v>
      </c>
      <c r="L6" t="inlineStr">
        <is>
          <t>n/a</t>
        </is>
      </c>
      <c r="M6" t="inlineStr">
        <is>
          <t>n/a</t>
        </is>
      </c>
      <c r="N6" s="6" t="inlineStr">
        <is>
          <t>Verified (1B final run)</t>
        </is>
      </c>
      <c r="O6" t="inlineStr">
        <is>
          <t>paper values per app, read off bar charts (±3 pp); both inputs share the paper's app value; paper L1 hit: n/a, Fig. 25 gives only the average over the paper's 11 apps</t>
        </is>
      </c>
    </row>
    <row r="7">
      <c r="A7" t="inlineStr">
        <is>
          <t>lud 512</t>
        </is>
      </c>
      <c r="B7" s="3" t="n">
        <v>91</v>
      </c>
      <c r="C7" s="3" t="n">
        <v>82.19089508056641</v>
      </c>
      <c r="D7" s="3" t="n">
        <v>28.42607498168945</v>
      </c>
      <c r="E7" s="3" t="n">
        <v>82</v>
      </c>
      <c r="F7" s="3" t="n">
        <v>2.681446075439453</v>
      </c>
      <c r="G7" s="5" t="n">
        <v>18</v>
      </c>
      <c r="H7" s="4" t="n">
        <v>0.1230803074257825</v>
      </c>
      <c r="I7" s="5" t="n">
        <v>3.614425364002583</v>
      </c>
      <c r="J7" s="3" t="n">
        <v>4.224014282226562</v>
      </c>
      <c r="K7" s="3" t="n">
        <v>6.766128540039062</v>
      </c>
      <c r="L7" t="inlineStr">
        <is>
          <t>n/a</t>
        </is>
      </c>
      <c r="M7" t="inlineStr">
        <is>
          <t>n/a</t>
        </is>
      </c>
      <c r="N7" s="6" t="inlineStr">
        <is>
          <t>Verified (1B final run)</t>
        </is>
      </c>
      <c r="O7" t="inlineStr">
        <is>
          <t>paper values per app, read off bar charts (±3 pp); both inputs share the paper's app value; paper L1 hit: n/a, Fig. 25 gives only the average over the paper's 11 apps</t>
        </is>
      </c>
    </row>
    <row r="8">
      <c r="A8" t="inlineStr">
        <is>
          <t>lud 256</t>
        </is>
      </c>
      <c r="B8" s="3" t="n">
        <v>91</v>
      </c>
      <c r="C8" s="3" t="n">
        <v>74.90158081054688</v>
      </c>
      <c r="D8" s="3" t="n">
        <v>33.40988159179688</v>
      </c>
      <c r="E8" s="3" t="n">
        <v>82</v>
      </c>
      <c r="F8" s="3" t="n">
        <v>0.705718994140625</v>
      </c>
      <c r="G8" s="5" t="n">
        <v>18</v>
      </c>
      <c r="H8" s="4" t="n">
        <v>0.07922594565437091</v>
      </c>
      <c r="I8" s="5" t="n">
        <v>2.988883082732108</v>
      </c>
      <c r="J8" s="3" t="n">
        <v>0</v>
      </c>
      <c r="K8" s="3" t="n">
        <v>0.705718994140625</v>
      </c>
      <c r="L8" t="inlineStr">
        <is>
          <t>n/a</t>
        </is>
      </c>
      <c r="M8" t="inlineStr">
        <is>
          <t>n/a</t>
        </is>
      </c>
      <c r="N8" s="6" t="inlineStr">
        <is>
          <t>Verified (1B final run)</t>
        </is>
      </c>
      <c r="O8" t="inlineStr">
        <is>
          <t>paper values per app, read off bar charts (±3 pp); both inputs share the paper's app value; paper L1 hit: n/a, Fig. 25 gives only the average over the paper's 11 apps</t>
        </is>
      </c>
    </row>
    <row r="9">
      <c r="A9" t="inlineStr">
        <is>
          <t>nw</t>
        </is>
      </c>
      <c r="B9" s="3" t="n">
        <v>12</v>
      </c>
      <c r="C9" s="3" t="n">
        <v>0</v>
      </c>
      <c r="D9" s="3" t="n">
        <v>0</v>
      </c>
      <c r="E9" s="3" t="n">
        <v>10</v>
      </c>
      <c r="F9" s="3" t="n">
        <v>0</v>
      </c>
      <c r="G9" s="5" t="n">
        <v>5</v>
      </c>
      <c r="H9" s="4" t="n">
        <v>0</v>
      </c>
      <c r="I9" s="5" t="n">
        <v>16.60562454646275</v>
      </c>
      <c r="J9" s="3" t="n">
        <v>1.515151515151515</v>
      </c>
      <c r="K9" s="3" t="n">
        <v>1.515151515151515</v>
      </c>
      <c r="L9" t="inlineStr">
        <is>
          <t>n/a</t>
        </is>
      </c>
      <c r="M9" t="inlineStr">
        <is>
          <t>n/a</t>
        </is>
      </c>
      <c r="N9" s="6" t="inlineStr">
        <is>
          <t>Verified (1B final run)</t>
        </is>
      </c>
      <c r="O9" t="inlineStr">
        <is>
          <t>paper values per app, read off bar charts (±3 pp); paper L1 hit: n/a, Fig. 25 gives only the average over the paper's 11 apps</t>
        </is>
      </c>
    </row>
    <row r="10">
      <c r="A10" t="inlineStr">
        <is>
          <t>histo</t>
        </is>
      </c>
      <c r="B10" s="3" t="n">
        <v>97</v>
      </c>
      <c r="C10" s="3" t="n">
        <v>34.44576395741412</v>
      </c>
      <c r="D10" s="3" t="n">
        <v>23.55738584348068</v>
      </c>
      <c r="E10" s="3" t="n">
        <v>96</v>
      </c>
      <c r="F10" s="3" t="n">
        <v>10.75935100028522</v>
      </c>
      <c r="G10" s="5" t="n">
        <v>33</v>
      </c>
      <c r="H10" s="7" t="n">
        <v>-1.926571697820734</v>
      </c>
      <c r="I10" s="5" t="n">
        <v>39.15892275093631</v>
      </c>
      <c r="J10" s="3" t="n">
        <v>59.10396680345421</v>
      </c>
      <c r="K10" s="3" t="n">
        <v>69.32116503423968</v>
      </c>
      <c r="L10" t="inlineStr">
        <is>
          <t>n/a</t>
        </is>
      </c>
      <c r="M10" t="inlineStr">
        <is>
          <t>n/a</t>
        </is>
      </c>
      <c r="N10" s="6" t="inlineStr">
        <is>
          <t>Verified (1B final run)</t>
        </is>
      </c>
      <c r="O10" t="inlineStr">
        <is>
          <t>paper values per app, read off bar charts (±3 pp); paper L1 hit: n/a, Fig. 25 gives only the average over the paper's 11 apps</t>
        </is>
      </c>
    </row>
    <row r="11">
      <c r="A11" t="inlineStr">
        <is>
          <t>mri-q</t>
        </is>
      </c>
      <c r="B11" s="3" t="n">
        <v>72</v>
      </c>
      <c r="C11" s="3" t="n">
        <v>87.97260802469135</v>
      </c>
      <c r="D11" s="3" t="n">
        <v>9.328382201646091</v>
      </c>
      <c r="E11" s="3" t="n">
        <v>60</v>
      </c>
      <c r="F11" s="3" t="n">
        <v>0.04661779835390947</v>
      </c>
      <c r="G11" s="5" t="n">
        <v>4</v>
      </c>
      <c r="H11" s="4" t="n">
        <v>0.0919251809866406</v>
      </c>
      <c r="I11" s="5" t="n">
        <v>2.175140384748842</v>
      </c>
      <c r="J11" s="3" t="n">
        <v>0</v>
      </c>
      <c r="K11" s="3" t="n">
        <v>0.04661779835390947</v>
      </c>
      <c r="L11" t="inlineStr">
        <is>
          <t>n/a</t>
        </is>
      </c>
      <c r="M11" t="inlineStr">
        <is>
          <t>n/a</t>
        </is>
      </c>
      <c r="N11" s="6" t="inlineStr">
        <is>
          <t>Verified (1B final run)</t>
        </is>
      </c>
      <c r="O11" t="inlineStr">
        <is>
          <t>paper values per app, read off bar charts (±3 pp); paper L1 hit: n/a, Fig. 25 gives only the average over the paper's 11 apps</t>
        </is>
      </c>
    </row>
    <row r="12">
      <c r="A12" t="inlineStr">
        <is>
          <t>srad_v1</t>
        </is>
      </c>
      <c r="B12" s="3" t="n">
        <v>87</v>
      </c>
      <c r="C12" s="3" t="n">
        <v>84.79575939716703</v>
      </c>
      <c r="D12" s="3" t="n">
        <v>12.51579355804815</v>
      </c>
      <c r="E12" s="3" t="n">
        <v>83</v>
      </c>
      <c r="F12" s="3" t="n">
        <v>3.486216708414522</v>
      </c>
      <c r="G12" s="5" t="n">
        <v>29</v>
      </c>
      <c r="H12" s="4" t="n">
        <v>-0.2107928063649012</v>
      </c>
      <c r="I12" s="5" t="n">
        <v>20.63186887974866</v>
      </c>
      <c r="J12" s="3" t="n">
        <v>25.73337959903492</v>
      </c>
      <c r="K12" s="3" t="n">
        <v>31.99575003802153</v>
      </c>
      <c r="L12" t="inlineStr">
        <is>
          <t>n/a</t>
        </is>
      </c>
      <c r="M12" t="inlineStr">
        <is>
          <t>n/a</t>
        </is>
      </c>
      <c r="N12" s="6" t="inlineStr">
        <is>
          <t>Verified (1B final run)</t>
        </is>
      </c>
      <c r="O12" t="inlineStr">
        <is>
          <t>paper values per app, read off bar charts (±3 pp); paper L1 hit: n/a, Fig. 25 gives only the average over the paper's 11 apps</t>
        </is>
      </c>
    </row>
    <row r="13">
      <c r="A13" t="inlineStr">
        <is>
          <t>7 apps: GMEAN (IPC) / mean (rates)</t>
        </is>
      </c>
      <c r="B13" s="3" t="n">
        <v>75.71428571428571</v>
      </c>
      <c r="C13" s="3" t="n">
        <v>63.19253864548354</v>
      </c>
      <c r="D13" s="3" t="n">
        <v>21.86567464078823</v>
      </c>
      <c r="E13" s="3" t="n">
        <v>69.14285714285714</v>
      </c>
      <c r="F13" s="3" t="n">
        <v>6.131635247545203</v>
      </c>
      <c r="G13" s="5" t="n">
        <v>14.13552231271853</v>
      </c>
      <c r="H13" s="4" t="n">
        <v>-0.2882221812144703</v>
      </c>
      <c r="I13" s="5" t="n">
        <v>16.62084528142636</v>
      </c>
      <c r="J13" s="3" t="n">
        <v>18.65529119152736</v>
      </c>
      <c r="K13" s="3" t="n">
        <v>25.15588403447518</v>
      </c>
      <c r="L13" s="3" t="n">
        <v>45</v>
      </c>
      <c r="M13" s="3" t="n">
        <v>79</v>
      </c>
      <c r="N13" s="6" t="inlineStr">
        <is>
          <t>Verified (1B final run)</t>
        </is>
      </c>
      <c r="O13" t="inlineStr">
        <is>
          <t>IPC: GMEAN over apps; rates: mean over apps. Paper columns: the same 7 apps (its own 11-app averages: coverage 80.0, accuracy 75.0, IPC gain +17%, SPEC §5); paper L1 hit: 11-app average (Isolated-Snake 84.0)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11" customWidth="1" min="3" max="3"/>
    <col width="27" customWidth="1" min="4" max="4"/>
    <col width="25" customWidth="1" min="5" max="5"/>
    <col width="13" customWidth="1" min="6" max="6"/>
    <col width="9" customWidth="1" min="7" max="7"/>
    <col width="11" customWidth="1" min="8" max="8"/>
    <col width="10" customWidth="1" min="9" max="9"/>
    <col width="33" customWidth="1" min="10" max="10"/>
    <col width="31" customWidth="1" min="11" max="11"/>
    <col width="24" customWidth="1" min="12" max="12"/>
    <col width="50" customWidth="1" min="13" max="13"/>
  </cols>
  <sheetData>
    <row r="1">
      <c r="A1" s="1" t="inlineStr">
        <is>
          <t>Slide 2. Snake as SnakeCharmer's SK (Tang et al., MICRO 2026) vs SnakeCharmer's published SK averages. Ours: base QV100 (SnakeCharmer's V100 setup): 80 SMs, LRR, 1132 MHz, 100M instructions (-gpgpu_max_insn 100000000; whole run if shorter).</t>
        </is>
      </c>
    </row>
    <row r="2">
      <c r="A2" s="1" t="inlineStr">
        <is>
          <t>SnakeCharmer's metrics per 32 B sector (SPEC OQ-36); on time / too early / too late are shares of used prefetches. Means are arithmetic over workloads, IPC a GMEAN.</t>
        </is>
      </c>
    </row>
    <row r="3">
      <c r="A3" s="2" t="inlineStr">
        <is>
          <t>config</t>
        </is>
      </c>
      <c r="B3" s="2" t="inlineStr">
        <is>
          <t>scope</t>
        </is>
      </c>
      <c r="C3" s="2" t="inlineStr">
        <is>
          <t>workloads</t>
        </is>
      </c>
      <c r="D3" s="2" t="inlineStr">
        <is>
          <t>coverage_sc, on-time only</t>
        </is>
      </c>
      <c r="E3" s="2" t="inlineStr">
        <is>
          <t>coverage_sc, incl. late</t>
        </is>
      </c>
      <c r="F3" s="2" t="inlineStr">
        <is>
          <t>accuracy_sc</t>
        </is>
      </c>
      <c r="G3" s="2" t="inlineStr">
        <is>
          <t>on time</t>
        </is>
      </c>
      <c r="H3" s="2" t="inlineStr">
        <is>
          <t>too early</t>
        </is>
      </c>
      <c r="I3" s="2" t="inlineStr">
        <is>
          <t>too late</t>
        </is>
      </c>
      <c r="J3" s="2" t="inlineStr">
        <is>
          <t>prefetch-induced eviction share</t>
        </is>
      </c>
      <c r="K3" s="2" t="inlineStr">
        <is>
          <t>IPC vs no prefetching (GMEAN)</t>
        </is>
      </c>
      <c r="L3" s="2" t="inlineStr">
        <is>
          <t>Status</t>
        </is>
      </c>
      <c r="M3" s="2" t="inlineStr">
        <is>
          <t>Notes</t>
        </is>
      </c>
    </row>
    <row r="4">
      <c r="A4" t="inlineStr">
        <is>
          <t>SnakeCharmer SK (A100)</t>
        </is>
      </c>
      <c r="B4" t="inlineStr">
        <is>
          <t>14 apps, A100 average</t>
        </is>
      </c>
      <c r="C4" s="8" t="n">
        <v>14</v>
      </c>
      <c r="D4" s="3" t="n">
        <v>11.5</v>
      </c>
      <c r="E4" t="inlineStr">
        <is>
          <t>n/a</t>
        </is>
      </c>
      <c r="F4" s="3" t="n">
        <v>23.1</v>
      </c>
      <c r="G4" s="3" t="n">
        <v>48.3</v>
      </c>
      <c r="H4" s="3" t="n">
        <v>28.7</v>
      </c>
      <c r="I4" s="3" t="n">
        <v>23</v>
      </c>
      <c r="J4" s="3" t="n">
        <v>34</v>
      </c>
      <c r="K4" t="inlineStr">
        <is>
          <t>not reported</t>
        </is>
      </c>
      <c r="L4" s="9" t="inlineStr">
        <is>
          <t>Published value</t>
        </is>
      </c>
      <c r="M4" t="inlineStr">
        <is>
          <t>coverage incl. late: n/a, SnakeCharmer reports one coverage (H / (H + M), late uses not separated; SPEC OQ-36). Eviction share: from the task brief, its definition not checked against ours. Full runs, zero-compressed cache</t>
        </is>
      </c>
    </row>
    <row r="5">
      <c r="A5" t="inlineStr">
        <is>
          <t>SK (reserve 8, decoupling on)</t>
        </is>
      </c>
      <c r="B5" t="inlineStr">
        <is>
          <t>SnakeCharmer's 5 workloads</t>
        </is>
      </c>
      <c r="C5" s="8" t="n">
        <v>5</v>
      </c>
      <c r="D5" s="3" t="n">
        <v>17.79644263341725</v>
      </c>
      <c r="E5" s="3" t="n">
        <v>23.59634301670091</v>
      </c>
      <c r="F5" s="3" t="n">
        <v>72.56450577547199</v>
      </c>
      <c r="G5" s="3" t="n">
        <v>42.17180620369719</v>
      </c>
      <c r="H5" s="3" t="n">
        <v>0.03327675048589853</v>
      </c>
      <c r="I5" s="3" t="n">
        <v>57.79491704581691</v>
      </c>
      <c r="J5" s="3" t="n">
        <v>11.21042010631837</v>
      </c>
      <c r="K5" s="5" t="n">
        <v>13.60154147769754</v>
      </c>
      <c r="L5" s="10" t="inlineStr">
        <is>
          <t>Preliminary (100M run)</t>
        </is>
      </c>
      <c r="M5" t="inlineStr">
        <is>
          <t>means over workloads (IPC: GMEAN); n with a value: accuracy 5, timeliness 5, evictions 3 of 5 (no prefetch used or no eviction: '-' in SK_match_qv100.md)</t>
        </is>
      </c>
    </row>
    <row r="6">
      <c r="A6" t="inlineStr">
        <is>
          <t>SK_R0 (reserve 0)</t>
        </is>
      </c>
      <c r="B6" t="inlineStr">
        <is>
          <t>SnakeCharmer's 5 workloads</t>
        </is>
      </c>
      <c r="C6" s="8" t="n">
        <v>5</v>
      </c>
      <c r="D6" s="3" t="n">
        <v>17.80302244060172</v>
      </c>
      <c r="E6" s="3" t="n">
        <v>25.02545802467804</v>
      </c>
      <c r="F6" s="3" t="n">
        <v>73.58356677075264</v>
      </c>
      <c r="G6" s="3" t="n">
        <v>40.32903645155695</v>
      </c>
      <c r="H6" s="3" t="n">
        <v>0.0351067580509248</v>
      </c>
      <c r="I6" s="3" t="n">
        <v>59.63585679039212</v>
      </c>
      <c r="J6" s="3" t="n">
        <v>12.04720747810504</v>
      </c>
      <c r="K6" s="5" t="n">
        <v>13.60970594430446</v>
      </c>
      <c r="L6" s="10" t="inlineStr">
        <is>
          <t>Preliminary (100M run)</t>
        </is>
      </c>
      <c r="M6" t="inlineStr">
        <is>
          <t>means over workloads (IPC: GMEAN); n with a value: accuracy 5, timeliness 5, evictions 3 of 5 (no prefetch used or no eviction: '-' in SK_match_qv100.md)</t>
        </is>
      </c>
    </row>
    <row r="7">
      <c r="A7" t="inlineStr">
        <is>
          <t>SK_R0_D0 (reserve 0, decoupling off)</t>
        </is>
      </c>
      <c r="B7" t="inlineStr">
        <is>
          <t>SnakeCharmer's 5 workloads</t>
        </is>
      </c>
      <c r="C7" s="8" t="n">
        <v>5</v>
      </c>
      <c r="D7" s="3" t="n">
        <v>17.75421651342958</v>
      </c>
      <c r="E7" s="3" t="n">
        <v>24.24310253215138</v>
      </c>
      <c r="F7" s="3" t="n">
        <v>72.90180313434946</v>
      </c>
      <c r="G7" s="3" t="n">
        <v>40.66834756407025</v>
      </c>
      <c r="H7" s="3" t="n">
        <v>0</v>
      </c>
      <c r="I7" s="3" t="n">
        <v>59.33165243592975</v>
      </c>
      <c r="J7" s="3" t="n">
        <v>12.3310377112232</v>
      </c>
      <c r="K7" s="5" t="n">
        <v>13.95856546766812</v>
      </c>
      <c r="L7" s="10" t="inlineStr">
        <is>
          <t>Preliminary (100M run)</t>
        </is>
      </c>
      <c r="M7" t="inlineStr">
        <is>
          <t>means over workloads (IPC: GMEAN); n with a value: accuracy 5, timeliness 5, evictions 2 of 5 (no prefetch used or no eviction: '-' in SK_match_qv100.md)</t>
        </is>
      </c>
    </row>
    <row r="8">
      <c r="A8" t="inlineStr">
        <is>
          <t>SK (reserve 8, decoupling on)</t>
        </is>
      </c>
      <c r="B8" t="inlineStr">
        <is>
          <t>all 14 workloads</t>
        </is>
      </c>
      <c r="C8" s="8" t="n">
        <v>14</v>
      </c>
      <c r="D8" s="3" t="n">
        <v>8.322278695927299</v>
      </c>
      <c r="E8" s="3" t="n">
        <v>20.37698682652098</v>
      </c>
      <c r="F8" s="3" t="n">
        <v>76.32798931135792</v>
      </c>
      <c r="G8" s="3" t="n">
        <v>21.89567690121887</v>
      </c>
      <c r="H8" s="3" t="n">
        <v>0.4062554488977712</v>
      </c>
      <c r="I8" s="3" t="n">
        <v>77.69806764988336</v>
      </c>
      <c r="J8" s="3" t="n">
        <v>16.37222885466998</v>
      </c>
      <c r="K8" s="5" t="n">
        <v>3.965543945371786</v>
      </c>
      <c r="L8" s="10" t="inlineStr">
        <is>
          <t>Preliminary (100M run)</t>
        </is>
      </c>
      <c r="M8" t="inlineStr">
        <is>
          <t>means over workloads (IPC: GMEAN); n with a value: accuracy 13, timeliness 13, evictions 9 of 14 (no prefetch used or no eviction: '-' in SK_match_qv100.md)</t>
        </is>
      </c>
    </row>
    <row r="9">
      <c r="A9" t="inlineStr">
        <is>
          <t>SK_R0 (reserve 0)</t>
        </is>
      </c>
      <c r="B9" t="inlineStr">
        <is>
          <t>all 14 workloads</t>
        </is>
      </c>
      <c r="C9" s="8" t="n">
        <v>14</v>
      </c>
      <c r="D9" s="3" t="n">
        <v>8.328630288451416</v>
      </c>
      <c r="E9" s="3" t="n">
        <v>22.32505779536441</v>
      </c>
      <c r="F9" s="3" t="n">
        <v>76.37068704256023</v>
      </c>
      <c r="G9" s="3" t="n">
        <v>20.79575266314838</v>
      </c>
      <c r="H9" s="3" t="n">
        <v>0.4246706884965621</v>
      </c>
      <c r="I9" s="3" t="n">
        <v>78.77957664835506</v>
      </c>
      <c r="J9" s="3" t="n">
        <v>16.09419053387158</v>
      </c>
      <c r="K9" s="5" t="n">
        <v>3.711443874095721</v>
      </c>
      <c r="L9" s="10" t="inlineStr">
        <is>
          <t>Preliminary (100M run)</t>
        </is>
      </c>
      <c r="M9" t="inlineStr">
        <is>
          <t>means over workloads (IPC: GMEAN); n with a value: accuracy 13, timeliness 13, evictions 9 of 14 (no prefetch used or no eviction: '-' in SK_match_qv100.md)</t>
        </is>
      </c>
    </row>
    <row r="10">
      <c r="A10" t="inlineStr">
        <is>
          <t>SK_R0_D0 (reserve 0, decoupling off)</t>
        </is>
      </c>
      <c r="B10" t="inlineStr">
        <is>
          <t>all 14 workloads</t>
        </is>
      </c>
      <c r="C10" s="8" t="n">
        <v>14</v>
      </c>
      <c r="D10" s="3" t="n">
        <v>7.118496665583455</v>
      </c>
      <c r="E10" s="3" t="n">
        <v>17.95375357841916</v>
      </c>
      <c r="F10" s="3" t="n">
        <v>75.52177799624332</v>
      </c>
      <c r="G10" s="3" t="n">
        <v>19.95292943424742</v>
      </c>
      <c r="H10" s="3" t="n">
        <v>0.02131287297527707</v>
      </c>
      <c r="I10" s="3" t="n">
        <v>80.0257576927773</v>
      </c>
      <c r="J10" s="3" t="n">
        <v>10.72473585728141</v>
      </c>
      <c r="K10" s="5" t="n">
        <v>4.774931215940614</v>
      </c>
      <c r="L10" s="10" t="inlineStr">
        <is>
          <t>Preliminary (100M run)</t>
        </is>
      </c>
      <c r="M10" t="inlineStr">
        <is>
          <t>means over workloads (IPC: GMEAN); n with a value: accuracy 13, timeliness 13, evictions 7 of 14 (no prefetch used or no eviction: '-' in SK_match_qv100.md)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6" customWidth="1" min="3" max="3"/>
    <col width="14" customWidth="1" min="4" max="4"/>
    <col width="11" customWidth="1" min="5" max="5"/>
    <col width="12" customWidth="1" min="6" max="6"/>
    <col width="8" customWidth="1" min="7" max="7"/>
    <col width="9" customWidth="1" min="8" max="8"/>
    <col width="50" customWidth="1" min="9" max="9"/>
  </cols>
  <sheetData>
    <row r="1">
      <c r="A1" s="1" t="inlineStr">
        <is>
          <t>Slide 3. Per 100 prefetched sectors (fills): derived from sheet 'vs SnakeCharmer'. Derived, approximate; definitions differ.</t>
        </is>
      </c>
    </row>
    <row r="2">
      <c r="A2" s="1" t="inlineStr">
        <is>
          <t>used = accuracy_sc; used on time / late / early = accuracy_sc x on-time / too-late / too-early share; wasted = 100 - used.</t>
        </is>
      </c>
    </row>
    <row r="3">
      <c r="A3" s="2" t="inlineStr">
        <is>
          <t>config</t>
        </is>
      </c>
      <c r="B3" s="2" t="inlineStr">
        <is>
          <t>scope</t>
        </is>
      </c>
      <c r="C3" s="2" t="inlineStr">
        <is>
          <t>used</t>
        </is>
      </c>
      <c r="D3" s="2" t="inlineStr">
        <is>
          <t>used on time</t>
        </is>
      </c>
      <c r="E3" s="2" t="inlineStr">
        <is>
          <t>used late</t>
        </is>
      </c>
      <c r="F3" s="2" t="inlineStr">
        <is>
          <t>used early</t>
        </is>
      </c>
      <c r="G3" s="2" t="inlineStr">
        <is>
          <t>wasted</t>
        </is>
      </c>
      <c r="H3" s="2" t="inlineStr">
        <is>
          <t>Status</t>
        </is>
      </c>
      <c r="I3" s="2" t="inlineStr">
        <is>
          <t>Notes</t>
        </is>
      </c>
    </row>
    <row r="4">
      <c r="A4" t="inlineStr">
        <is>
          <t>SnakeCharmer SK (A100)</t>
        </is>
      </c>
      <c r="B4" t="inlineStr">
        <is>
          <t>14 apps, A100 average</t>
        </is>
      </c>
      <c r="C4" s="11" t="n">
        <v>23.1</v>
      </c>
      <c r="D4" s="11" t="n">
        <v>11.1573</v>
      </c>
      <c r="E4" s="11" t="n">
        <v>5.313000000000001</v>
      </c>
      <c r="F4" s="11" t="n">
        <v>6.629700000000001</v>
      </c>
      <c r="G4" s="11" t="n">
        <v>76.90000000000001</v>
      </c>
      <c r="H4" s="12" t="inlineStr">
        <is>
          <t>Derived</t>
        </is>
      </c>
      <c r="I4" t="inlineStr">
        <is>
          <t>derived, approximate; definitions differ (Footnotes): the shares are of used prefetches, our too-early sectors are not counted in our accuracy_sc, and products of means are not means of products</t>
        </is>
      </c>
    </row>
    <row r="5">
      <c r="A5" t="inlineStr">
        <is>
          <t>SK_R0_D0 (reserve 0, decoupling off)</t>
        </is>
      </c>
      <c r="B5" t="inlineStr">
        <is>
          <t>SnakeCharmer's 5 workloads</t>
        </is>
      </c>
      <c r="C5" s="11" t="n">
        <v>72.90180313434946</v>
      </c>
      <c r="D5" s="11" t="n">
        <v>29.6479586791515</v>
      </c>
      <c r="E5" s="11" t="n">
        <v>43.25384445519797</v>
      </c>
      <c r="F5" s="11" t="n">
        <v>0</v>
      </c>
      <c r="G5" s="11" t="n">
        <v>27.09819686565054</v>
      </c>
      <c r="H5" s="12" t="inlineStr">
        <is>
          <t>Derived</t>
        </is>
      </c>
      <c r="I5" t="inlineStr">
        <is>
          <t>derived, approximate; definitions differ (Footnotes): the shares are of used prefetches, our too-early sectors are not counted in our accuracy_sc, and products of means are not means of products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9" customWidth="1" min="2" max="2"/>
    <col width="21" customWidth="1" min="3" max="3"/>
    <col width="15" customWidth="1" min="4" max="4"/>
    <col width="10" customWidth="1" min="5" max="5"/>
    <col width="24" customWidth="1" min="6" max="6"/>
    <col width="50" customWidth="1" min="7" max="7"/>
  </cols>
  <sheetData>
    <row r="1">
      <c r="A1" s="1" t="inlineStr">
        <is>
          <t>Slide 4. Best Snake variant (SK_R0_D0: SK settings, same-CTA inter-warp targets, per-warp Head, miss-queue reserve 0, decoupling off) vs no prefetching; base QV100 (SnakeCharmer's V100 setup): 80 SMs, LRR, 1132 MHz, 100M instructions (-gpgpu_max_insn 100000000; whole run if shorter).</t>
        </is>
      </c>
    </row>
    <row r="2">
      <c r="A2" s="1" t="inlineStr">
        <is>
          <t>Workloads sorted by IPC gain within each group. † input differs from SnakeCharmer Table II. bfs excluded (mis-decoded trace lines).</t>
        </is>
      </c>
    </row>
    <row r="3">
      <c r="A3" s="2" t="inlineStr">
        <is>
          <t>workload</t>
        </is>
      </c>
      <c r="B3" s="2" t="inlineStr">
        <is>
          <t>group</t>
        </is>
      </c>
      <c r="C3" s="2" t="inlineStr">
        <is>
          <t>IPC, no prefetching</t>
        </is>
      </c>
      <c r="D3" s="2" t="inlineStr">
        <is>
          <t>IPC, SK_R0_D0</t>
        </is>
      </c>
      <c r="E3" s="2" t="inlineStr">
        <is>
          <t>IPC gain</t>
        </is>
      </c>
      <c r="F3" s="2" t="inlineStr">
        <is>
          <t>Status</t>
        </is>
      </c>
      <c r="G3" s="2" t="inlineStr">
        <is>
          <t>Notes</t>
        </is>
      </c>
    </row>
    <row r="4">
      <c r="A4" t="inlineStr">
        <is>
          <t>hotspot 512</t>
        </is>
      </c>
      <c r="B4" t="inlineStr">
        <is>
          <t>our 7 apps</t>
        </is>
      </c>
      <c r="C4" s="13" t="n">
        <v>4365.8701</v>
      </c>
      <c r="D4" s="13" t="n">
        <v>4481.1372</v>
      </c>
      <c r="E4" s="5" t="n">
        <v>2.640186202516648</v>
      </c>
      <c r="F4" s="10" t="inlineStr">
        <is>
          <t>Preliminary (100M run)</t>
        </is>
      </c>
      <c r="G4" t="inlineStr"/>
    </row>
    <row r="5">
      <c r="A5" t="inlineStr">
        <is>
          <t>hotspot 1024</t>
        </is>
      </c>
      <c r="B5" t="inlineStr">
        <is>
          <t>our 7 apps</t>
        </is>
      </c>
      <c r="C5" s="13" t="n">
        <v>4880.3027</v>
      </c>
      <c r="D5" s="13" t="n">
        <v>4894.7119</v>
      </c>
      <c r="E5" s="4" t="n">
        <v>0.2952521776979022</v>
      </c>
      <c r="F5" s="10" t="inlineStr">
        <is>
          <t>Preliminary (100M run)</t>
        </is>
      </c>
      <c r="G5" t="inlineStr"/>
    </row>
    <row r="6">
      <c r="A6" t="inlineStr">
        <is>
          <t>mri-q</t>
        </is>
      </c>
      <c r="B6" t="inlineStr">
        <is>
          <t>our 7 apps</t>
        </is>
      </c>
      <c r="C6" s="13" t="n">
        <v>3329.5012</v>
      </c>
      <c r="D6" s="13" t="n">
        <v>3337.8604</v>
      </c>
      <c r="E6" s="4" t="n">
        <v>0.2510646339457745</v>
      </c>
      <c r="F6" s="10" t="inlineStr">
        <is>
          <t>Preliminary (100M run)</t>
        </is>
      </c>
      <c r="G6" t="inlineStr"/>
    </row>
    <row r="7">
      <c r="A7" t="inlineStr">
        <is>
          <t>lud 256</t>
        </is>
      </c>
      <c r="B7" t="inlineStr">
        <is>
          <t>our 7 apps</t>
        </is>
      </c>
      <c r="C7" s="13" t="n">
        <v>47.4307</v>
      </c>
      <c r="D7" s="13" t="n">
        <v>47.4411</v>
      </c>
      <c r="E7" s="4" t="n">
        <v>0.02192672678242857</v>
      </c>
      <c r="F7" s="10" t="inlineStr">
        <is>
          <t>Preliminary (100M run)</t>
        </is>
      </c>
      <c r="G7" t="inlineStr"/>
    </row>
    <row r="8">
      <c r="A8" t="inlineStr">
        <is>
          <t>nw</t>
        </is>
      </c>
      <c r="B8" t="inlineStr">
        <is>
          <t>our 7 apps</t>
        </is>
      </c>
      <c r="C8" s="13" t="n">
        <v>67.3977</v>
      </c>
      <c r="D8" s="13" t="n">
        <v>67.3977</v>
      </c>
      <c r="E8" s="4" t="n">
        <v>0</v>
      </c>
      <c r="F8" s="10" t="inlineStr">
        <is>
          <t>Preliminary (100M run)</t>
        </is>
      </c>
      <c r="G8" t="inlineStr"/>
    </row>
    <row r="9">
      <c r="A9" t="inlineStr">
        <is>
          <t>lud 512</t>
        </is>
      </c>
      <c r="B9" t="inlineStr">
        <is>
          <t>our 7 apps</t>
        </is>
      </c>
      <c r="C9" s="13" t="n">
        <v>395.7457</v>
      </c>
      <c r="D9" s="13" t="n">
        <v>394.7747</v>
      </c>
      <c r="E9" s="4" t="n">
        <v>-0.2453595831868771</v>
      </c>
      <c r="F9" s="10" t="inlineStr">
        <is>
          <t>Preliminary (100M run)</t>
        </is>
      </c>
      <c r="G9" t="inlineStr"/>
    </row>
    <row r="10">
      <c r="A10" t="inlineStr">
        <is>
          <t>backprop</t>
        </is>
      </c>
      <c r="B10" t="inlineStr">
        <is>
          <t>our 7 apps</t>
        </is>
      </c>
      <c r="C10" s="13" t="n">
        <v>3486.8882</v>
      </c>
      <c r="D10" s="13" t="n">
        <v>3475.7996</v>
      </c>
      <c r="E10" s="4" t="n">
        <v>-0.3180084752932411</v>
      </c>
      <c r="F10" s="10" t="inlineStr">
        <is>
          <t>Preliminary (100M run)</t>
        </is>
      </c>
      <c r="G10" t="inlineStr"/>
    </row>
    <row r="11">
      <c r="A11" t="inlineStr">
        <is>
          <t>histo</t>
        </is>
      </c>
      <c r="B11" t="inlineStr">
        <is>
          <t>our 7 apps</t>
        </is>
      </c>
      <c r="C11" s="13" t="n">
        <v>724.3528</v>
      </c>
      <c r="D11" s="13" t="n">
        <v>715.3907</v>
      </c>
      <c r="E11" s="7" t="n">
        <v>-1.237256209957349</v>
      </c>
      <c r="F11" s="10" t="inlineStr">
        <is>
          <t>Preliminary (100M run)</t>
        </is>
      </c>
      <c r="G11" t="inlineStr"/>
    </row>
    <row r="12">
      <c r="A12" t="inlineStr">
        <is>
          <t>srad_v1</t>
        </is>
      </c>
      <c r="B12" t="inlineStr">
        <is>
          <t>our 7 apps</t>
        </is>
      </c>
      <c r="C12" s="13" t="n">
        <v>1416.7579</v>
      </c>
      <c r="D12" s="13" t="n">
        <v>1397.1376</v>
      </c>
      <c r="E12" s="7" t="n">
        <v>-1.384873167109213</v>
      </c>
      <c r="F12" s="10" t="inlineStr">
        <is>
          <t>Preliminary (100M run)</t>
        </is>
      </c>
      <c r="G12" t="inlineStr"/>
    </row>
    <row r="13">
      <c r="A13" t="inlineStr">
        <is>
          <t>particlefilter_naive</t>
        </is>
      </c>
      <c r="B13" t="inlineStr">
        <is>
          <t>SnakeCharmer apps</t>
        </is>
      </c>
      <c r="C13" s="13" t="n">
        <v>39.911</v>
      </c>
      <c r="D13" s="13" t="n">
        <v>71.2229</v>
      </c>
      <c r="E13" s="5" t="n">
        <v>78.4543108416226</v>
      </c>
      <c r="F13" s="10" t="inlineStr">
        <is>
          <t>Preliminary (100M run)</t>
        </is>
      </c>
      <c r="G13" t="inlineStr">
        <is>
          <t>dominates the means: latency-bound, low occupancy (SK_SC.md §5)</t>
        </is>
      </c>
    </row>
    <row r="14">
      <c r="A14" t="inlineStr">
        <is>
          <t>particlefilter_float</t>
        </is>
      </c>
      <c r="B14" t="inlineStr">
        <is>
          <t>SnakeCharmer apps</t>
        </is>
      </c>
      <c r="C14" s="13" t="n">
        <v>66.0637</v>
      </c>
      <c r="D14" s="13" t="n">
        <v>72.0694</v>
      </c>
      <c r="E14" s="5" t="n">
        <v>9.090771482675052</v>
      </c>
      <c r="F14" s="10" t="inlineStr">
        <is>
          <t>Preliminary (100M run)</t>
        </is>
      </c>
      <c r="G14" t="inlineStr"/>
    </row>
    <row r="15">
      <c r="A15" t="inlineStr">
        <is>
          <t>heartwall †</t>
        </is>
      </c>
      <c r="B15" t="inlineStr">
        <is>
          <t>SnakeCharmer apps</t>
        </is>
      </c>
      <c r="C15" s="13" t="n">
        <v>763.9442</v>
      </c>
      <c r="D15" s="13" t="n">
        <v>762.9307</v>
      </c>
      <c r="E15" s="4" t="n">
        <v>-0.1326667575982654</v>
      </c>
      <c r="F15" s="10" t="inlineStr">
        <is>
          <t>Preliminary (100M run)</t>
        </is>
      </c>
      <c r="G15" t="inlineStr">
        <is>
          <t>† input differs from SnakeCharmer Table II (SK_SC.md §1)</t>
        </is>
      </c>
    </row>
    <row r="16">
      <c r="A16" t="inlineStr">
        <is>
          <t>streamcluster †</t>
        </is>
      </c>
      <c r="B16" t="inlineStr">
        <is>
          <t>SnakeCharmer apps</t>
        </is>
      </c>
      <c r="C16" s="13" t="n">
        <v>17.7437</v>
      </c>
      <c r="D16" s="13" t="n">
        <v>17.6979</v>
      </c>
      <c r="E16" s="4" t="n">
        <v>-0.2581197833597226</v>
      </c>
      <c r="F16" s="10" t="inlineStr">
        <is>
          <t>Preliminary (100M run)</t>
        </is>
      </c>
      <c r="G16" t="inlineStr">
        <is>
          <t>† input differs from SnakeCharmer Table II (SK_SC.md §1); 2.3% of the trace's global memory lines mis-decoded (SK_SC.md §1)</t>
        </is>
      </c>
    </row>
    <row r="17">
      <c r="A17" t="inlineStr">
        <is>
          <t>b+tree</t>
        </is>
      </c>
      <c r="B17" t="inlineStr">
        <is>
          <t>SnakeCharmer apps</t>
        </is>
      </c>
      <c r="C17" s="13" t="n">
        <v>3431.8684</v>
      </c>
      <c r="D17" s="13" t="n">
        <v>3401.3352</v>
      </c>
      <c r="E17" s="4" t="n">
        <v>-0.8896961200493547</v>
      </c>
      <c r="F17" s="10" t="inlineStr">
        <is>
          <t>Preliminary (100M run)</t>
        </is>
      </c>
      <c r="G17" t="inlineStr"/>
    </row>
    <row r="18">
      <c r="A18" t="inlineStr">
        <is>
          <t>GMEAN, all 14 workloads</t>
        </is>
      </c>
      <c r="B18" t="inlineStr">
        <is>
          <t>summary</t>
        </is>
      </c>
      <c r="C18" t="inlineStr"/>
      <c r="D18" t="inlineStr"/>
      <c r="E18" s="5" t="n">
        <v>4.774931215940614</v>
      </c>
      <c r="F18" s="10" t="inlineStr">
        <is>
          <t>Preliminary (100M run)</t>
        </is>
      </c>
      <c r="G18" t="inlineStr">
        <is>
          <t>GMEAN over workloads</t>
        </is>
      </c>
    </row>
    <row r="19">
      <c r="A19" t="inlineStr">
        <is>
          <t>GMEAN without particlefilter_naive (13)</t>
        </is>
      </c>
      <c r="B19" t="inlineStr">
        <is>
          <t>summary</t>
        </is>
      </c>
      <c r="C19" t="inlineStr"/>
      <c r="D19" t="inlineStr"/>
      <c r="E19" s="4" t="n">
        <v>0.5697592800577356</v>
      </c>
      <c r="F19" s="10" t="inlineStr">
        <is>
          <t>Preliminary (100M run)</t>
        </is>
      </c>
      <c r="G19" t="inlineStr">
        <is>
          <t>not in the results docs; computed here from the same runs</t>
        </is>
      </c>
    </row>
    <row r="20">
      <c r="A20" t="inlineStr">
        <is>
          <t>GMEAN, our 7 apps (9 workloads)</t>
        </is>
      </c>
      <c r="B20" t="inlineStr">
        <is>
          <t>summary</t>
        </is>
      </c>
      <c r="C20" t="inlineStr"/>
      <c r="D20" t="inlineStr"/>
      <c r="E20" s="4" t="n">
        <v>-0.003363932596744945</v>
      </c>
      <c r="F20" s="10" t="inlineStr">
        <is>
          <t>Preliminary (100M run)</t>
        </is>
      </c>
      <c r="G20" t="inlineStr">
        <is>
          <t>GMEAN over workloads</t>
        </is>
      </c>
    </row>
    <row r="21">
      <c r="A21" t="inlineStr">
        <is>
          <t>GMEAN, SnakeCharmer apps (5 workloads)</t>
        </is>
      </c>
      <c r="B21" t="inlineStr">
        <is>
          <t>summary</t>
        </is>
      </c>
      <c r="C21" t="inlineStr"/>
      <c r="D21" t="inlineStr"/>
      <c r="E21" s="5" t="n">
        <v>13.95856546766812</v>
      </c>
      <c r="F21" s="10" t="inlineStr">
        <is>
          <t>Preliminary (100M run)</t>
        </is>
      </c>
      <c r="G21" t="inlineStr">
        <is>
          <t>GMEAN over workloads</t>
        </is>
      </c>
    </row>
    <row r="22">
      <c r="A22" t="inlineStr">
        <is>
          <t>bfs (excluded)</t>
        </is>
      </c>
      <c r="B22" t="inlineStr">
        <is>
          <t>SnakeCharmer apps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excluded: 24.8% of its global memory lines are mis-decoded after the parser fix, a tracer bug the fix cannot repair (SK_SC.md §1); no SK match runs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50" customWidth="1" min="3" max="3"/>
    <col width="44" customWidth="1" min="4" max="4"/>
  </cols>
  <sheetData>
    <row r="1">
      <c r="A1" s="1" t="inlineStr">
        <is>
          <t>Footnotes: metric definitions with formula and source, the setup per slide, status values and caveats.</t>
        </is>
      </c>
    </row>
    <row r="2">
      <c r="A2" s="2" t="inlineStr">
        <is>
          <t>section</t>
        </is>
      </c>
      <c r="B2" s="2" t="inlineStr">
        <is>
          <t>item</t>
        </is>
      </c>
      <c r="C2" s="2" t="inlineStr">
        <is>
          <t>definition / formula / text</t>
        </is>
      </c>
      <c r="D2" s="2" t="inlineStr">
        <is>
          <t>source</t>
        </is>
      </c>
    </row>
    <row r="3">
      <c r="A3" t="inlineStr">
        <is>
          <t>metric</t>
        </is>
      </c>
      <c r="B3" t="inlineStr">
        <is>
          <t>IPC gain</t>
        </is>
      </c>
      <c r="C3" t="inlineStr">
        <is>
          <t>gpu_tot_ipc(config) / gpu_tot_ipc(no prefetching) - 1, same workload and setup</t>
        </is>
      </c>
      <c r="D3" t="inlineStr">
        <is>
          <t>sim.out of both runs</t>
        </is>
      </c>
    </row>
    <row r="4">
      <c r="A4" t="inlineStr">
        <is>
          <t>metric</t>
        </is>
      </c>
      <c r="B4" t="inlineStr">
        <is>
          <t>GMEAN</t>
        </is>
      </c>
      <c r="C4" t="inlineStr">
        <is>
          <t>exp(mean(ln(1 + gain))) - 1. Slide 1: over the 7 apps, an app's inputs (hotspot, lud) combined first; slides 2 and 4: over workloads</t>
        </is>
      </c>
      <c r="D4" t="inlineStr">
        <is>
          <t>final_tier1.md §3; SK_match_qv100.md Means</t>
        </is>
      </c>
    </row>
    <row r="5">
      <c r="A5" t="inlineStr">
        <is>
          <t>metric</t>
        </is>
      </c>
      <c r="B5" t="inlineStr">
        <is>
          <t>paper coverage (Fig. 16)</t>
        </is>
      </c>
      <c r="C5" t="inlineStr">
        <is>
          <t>'correctly predicted addresses / total demand addresses' (Snake paper §4); values read off the bar chart, ±3 pp</t>
        </is>
      </c>
      <c r="D5" t="inlineStr">
        <is>
          <t>docs/snake/SPEC.md §5</t>
        </is>
      </c>
    </row>
    <row r="6">
      <c r="A6" t="inlineStr">
        <is>
          <t>metric</t>
        </is>
      </c>
      <c r="B6" t="inlineStr">
        <is>
          <t>our predicted coverage (coverage_pred)</t>
        </is>
      </c>
      <c r="C6" t="inlineStr">
        <is>
          <t>demand sectors that an earlier prediction named, issued or not, within snake_pred_window cycles / demand sectors (snake_demand_pred_matched / snake_demand_sector_accesses)</t>
        </is>
      </c>
      <c r="D6" t="inlineStr">
        <is>
          <t>docs/snake/SPEC.md OQ-14</t>
        </is>
      </c>
    </row>
    <row r="7">
      <c r="A7" t="inlineStr">
        <is>
          <t>metric</t>
        </is>
      </c>
      <c r="B7" t="inlineStr">
        <is>
          <t>our delivered coverage (coverage_paper)</t>
        </is>
      </c>
      <c r="C7" t="inlineStr">
        <is>
          <t>(timely + late prefetched sectors) / demand sectors ((snake_pf_useful_timely + snake_pf_late) / snake_demand_sector_accesses)</t>
        </is>
      </c>
      <c r="D7" t="inlineStr">
        <is>
          <t>docs/snake/SPEC.md OQ-14</t>
        </is>
      </c>
    </row>
    <row r="8">
      <c r="A8" t="inlineStr">
        <is>
          <t>metric</t>
        </is>
      </c>
      <c r="B8" t="inlineStr">
        <is>
          <t>paper accuracy, timely (Fig. 17)</t>
        </is>
      </c>
      <c r="C8" t="inlineStr">
        <is>
          <t>'timely correctly predicted addresses / total demand addresses': timely coverage, not useful / issued; read off the bar chart, ±3 pp</t>
        </is>
      </c>
      <c r="D8" t="inlineStr">
        <is>
          <t>docs/snake/SPEC.md §5, OQ-14</t>
        </is>
      </c>
    </row>
    <row r="9">
      <c r="A9" t="inlineStr">
        <is>
          <t>metric</t>
        </is>
      </c>
      <c r="B9" t="inlineStr">
        <is>
          <t>our timely accuracy (accuracy_paper)</t>
        </is>
      </c>
      <c r="C9" t="inlineStr">
        <is>
          <t>timely prefetched sectors / demand sectors (snake_pf_useful_timely / snake_demand_sector_accesses)</t>
        </is>
      </c>
      <c r="D9" t="inlineStr">
        <is>
          <t>docs/snake/SPEC.md OQ-14</t>
        </is>
      </c>
    </row>
    <row r="10">
      <c r="A10" t="inlineStr">
        <is>
          <t>metric</t>
        </is>
      </c>
      <c r="B10" t="inlineStr">
        <is>
          <t>perfect-L1 ceiling</t>
        </is>
      </c>
      <c r="C10" t="inlineStr">
        <is>
          <t>IPC gain with -gpgpu_perfect_l1d 1: every L1-cached global load hits at L1 latency. An upper bound: it also removes the loads' memory traffic, which a prefetcher still moves</t>
        </is>
      </c>
      <c r="D10" t="inlineStr">
        <is>
          <t>results/D1_ceilings.md §3</t>
        </is>
      </c>
    </row>
    <row r="11">
      <c r="A11" t="inlineStr">
        <is>
          <t>metric</t>
        </is>
      </c>
      <c r="B11" t="inlineStr">
        <is>
          <t>L1 hit rate</t>
        </is>
      </c>
      <c r="C11" t="inlineStr">
        <is>
          <t>demand L1D hit rate: Total_core_cache_stats_breakdown[GLOBAL_ACC_R][HIT] / [TOTAL_ACCESS]; the paper's is the Fig. 25 average over its 11 apps</t>
        </is>
      </c>
      <c r="D11" t="inlineStr">
        <is>
          <t>final_tier1.md §3; docs/snake/SPEC.md §5</t>
        </is>
      </c>
    </row>
    <row r="12">
      <c r="A12" t="inlineStr">
        <is>
          <t>metric</t>
        </is>
      </c>
      <c r="B12" t="inlineStr">
        <is>
          <t>coverage_sc, on-time only</t>
        </is>
      </c>
      <c r="C12" t="inlineStr">
        <is>
          <t>on-time uses / (on-time + late + miss): sc_ld_ontime / (sc_ld_ontime + sc_ld_late + sc_ld_miss); SnakeCharmer's H / (H + M) with late uses in M</t>
        </is>
      </c>
      <c r="D12" t="inlineStr">
        <is>
          <t>docs/snake/SPEC.md OQ-36</t>
        </is>
      </c>
    </row>
    <row r="13">
      <c r="A13" t="inlineStr">
        <is>
          <t>metric</t>
        </is>
      </c>
      <c r="B13" t="inlineStr">
        <is>
          <t>coverage_sc, incl. late</t>
        </is>
      </c>
      <c r="C13" t="inlineStr">
        <is>
          <t>(on-time + late) / (on-time + late + miss): the same with late uses in H. SnakeCharmer does not say which it counts</t>
        </is>
      </c>
      <c r="D13" t="inlineStr">
        <is>
          <t>docs/snake/SPEC.md OQ-36</t>
        </is>
      </c>
    </row>
    <row r="14">
      <c r="A14" t="inlineStr">
        <is>
          <t>metric</t>
        </is>
      </c>
      <c r="B14" t="inlineStr">
        <is>
          <t>accuracy_sc</t>
        </is>
      </c>
      <c r="C14" t="inlineStr">
        <is>
          <t>(on-time uses + fills a load had merged into) / prefetch fills: (sc_ld_ontime + sc_pf_fills - pf_filled) / sc_pf_fills</t>
        </is>
      </c>
      <c r="D14" t="inlineStr">
        <is>
          <t>docs/snake/SPEC.md OQ-36</t>
        </is>
      </c>
    </row>
    <row r="15">
      <c r="A15" t="inlineStr">
        <is>
          <t>metric</t>
        </is>
      </c>
      <c r="B15" t="inlineStr">
        <is>
          <t>on time / too early / too late</t>
        </is>
      </c>
      <c r="C15" t="inlineStr">
        <is>
          <t>shares of used prefetches (first load to a prefetched sector): hit after the fill / evicted unused earlier in the kernel / merged into the in-flight MSHR entry</t>
        </is>
      </c>
      <c r="D15" t="inlineStr">
        <is>
          <t>docs/snake/SPEC.md OQ-36</t>
        </is>
      </c>
    </row>
    <row r="16">
      <c r="A16" t="inlineStr">
        <is>
          <t>metric</t>
        </is>
      </c>
      <c r="B16" t="inlineStr">
        <is>
          <t>prefetch-induced eviction share</t>
        </is>
      </c>
      <c r="C16" t="inlineStr">
        <is>
          <t>demand-filled victim sectors evicted by a prefetch allocation / all victim sectors (sc_victim_demand_by_pf / sc_victim_sectors). SnakeCharmer's 34.0 is from the task brief; its definition was not checked against ours</t>
        </is>
      </c>
      <c r="D16" t="inlineStr">
        <is>
          <t>docs/snake/SPEC.md OQ-36; task brief</t>
        </is>
      </c>
    </row>
    <row r="17">
      <c r="A17" t="inlineStr">
        <is>
          <t>metric</t>
        </is>
      </c>
      <c r="B17" t="inlineStr">
        <is>
          <t>per 100 prefetched sectors</t>
        </is>
      </c>
      <c r="C17" t="inlineStr">
        <is>
          <t>used = accuracy_sc; used on time / late / early = accuracy_sc x on-time / too-late / too-early share / 100; wasted = 100 - used. Derived from the means, approximate</t>
        </is>
      </c>
      <c r="D17" t="inlineStr">
        <is>
          <t>sheet 'Per 100 prefetched sectors'</t>
        </is>
      </c>
    </row>
    <row r="18">
      <c r="A18" t="inlineStr">
        <is>
          <t>status</t>
        </is>
      </c>
      <c r="B18" t="inlineStr">
        <is>
          <t>Verified (1B final run)</t>
        </is>
      </c>
      <c r="C18" t="inlineStr">
        <is>
          <t>1B-instruction Tier 1 run (final evaluation), checked against the results docs</t>
        </is>
      </c>
      <c r="D18" t="inlineStr">
        <is>
          <t>final_tier1.md</t>
        </is>
      </c>
    </row>
    <row r="19">
      <c r="A19" t="inlineStr">
        <is>
          <t>status</t>
        </is>
      </c>
      <c r="B19" t="inlineStr">
        <is>
          <t>Preliminary (100M run)</t>
        </is>
      </c>
      <c r="C19" t="inlineStr">
        <is>
          <t>100M-instruction run (SK match Step 1), checked against the results docs</t>
        </is>
      </c>
      <c r="D19" t="inlineStr">
        <is>
          <t>SK_match_qv100.md</t>
        </is>
      </c>
    </row>
    <row r="20">
      <c r="A20" t="inlineStr">
        <is>
          <t>status</t>
        </is>
      </c>
      <c r="B20" t="inlineStr">
        <is>
          <t>Derived</t>
        </is>
      </c>
      <c r="C20" t="inlineStr">
        <is>
          <t>computed here from values in other sheets</t>
        </is>
      </c>
      <c r="D20" t="inlineStr">
        <is>
          <t>sheet 'Per 100 prefetched sectors'</t>
        </is>
      </c>
    </row>
    <row r="21">
      <c r="A21" t="inlineStr">
        <is>
          <t>status</t>
        </is>
      </c>
      <c r="B21" t="inlineStr">
        <is>
          <t>Published value</t>
        </is>
      </c>
      <c r="C21" t="inlineStr">
        <is>
          <t>a published average (SnakeCharmer), not reproduced by us</t>
        </is>
      </c>
      <c r="D21" t="inlineStr">
        <is>
          <t>SK_SC.md §4</t>
        </is>
      </c>
    </row>
    <row r="22">
      <c r="A22" t="inlineStr">
        <is>
          <t>setup</t>
        </is>
      </c>
      <c r="B22" t="inlineStr">
        <is>
          <t>slide 1: configs</t>
        </is>
      </c>
      <c r="C22" t="inlineStr">
        <is>
          <t>baseline QV100-SASS-PAPER_V100-1B_INSN; Snake QV100-SASS-PAPER_V100-1B_INSN-SNAKE-SNAKE_FP1; perfect-L1 ceiling QV100-SASS-PAPER_V100-1B_INSN-PERFECT_L1D</t>
        </is>
      </c>
      <c r="D22" t="inlineStr">
        <is>
          <t>s5_runs.sh tier1 list; D1_ceilings.md §4</t>
        </is>
      </c>
    </row>
    <row r="23">
      <c r="A23" t="inlineStr">
        <is>
          <t>setup</t>
        </is>
      </c>
      <c r="B23" t="inlineStr">
        <is>
          <t>slide 1: GPU model</t>
        </is>
      </c>
      <c r="C23" t="inlineStr">
        <is>
          <t>PAPER_V100 (QV100 config, the Snake paper's V100): 80 SMs, GTO, 1530 MHz</t>
        </is>
      </c>
      <c r="D23" t="inlineStr">
        <is>
          <t>gpgpusim.config of the runs</t>
        </is>
      </c>
    </row>
    <row r="24">
      <c r="A24" t="inlineStr">
        <is>
          <t>setup</t>
        </is>
      </c>
      <c r="B24" t="inlineStr">
        <is>
          <t>slide 1: traces</t>
        </is>
      </c>
      <c r="C24" t="inlineStr">
        <is>
          <t>sm_70 (accel-sim traces of V100 runs, '-binary version' in kernel-1)</t>
        </is>
      </c>
      <c r="D24" t="inlineStr">
        <is>
          <t>hw_run/*/traces</t>
        </is>
      </c>
    </row>
    <row r="25">
      <c r="A25" t="inlineStr">
        <is>
          <t>setup</t>
        </is>
      </c>
      <c r="B25" t="inlineStr">
        <is>
          <t>slide 1: instruction cap</t>
        </is>
      </c>
      <c r="C25" t="inlineStr">
        <is>
          <t>1B instructions (-gpgpu_max_insn 1000000000; whole run if shorter)</t>
        </is>
      </c>
      <c r="D25" t="inlineStr">
        <is>
          <t>1B_INSN token</t>
        </is>
      </c>
    </row>
    <row r="26">
      <c r="A26" t="inlineStr">
        <is>
          <t>setup</t>
        </is>
      </c>
      <c r="B26" t="inlineStr">
        <is>
          <t>slide 1: workloads</t>
        </is>
      </c>
      <c r="C26" t="inlineStr">
        <is>
          <t>7 apps, 9 workloads</t>
        </is>
      </c>
      <c r="D26" t="inlineStr">
        <is>
          <t>final_tier1.md</t>
        </is>
      </c>
    </row>
    <row r="27">
      <c r="A27" t="inlineStr">
        <is>
          <t>setup</t>
        </is>
      </c>
      <c r="B27" t="inlineStr">
        <is>
          <t>slides 2-4: configs</t>
        </is>
      </c>
      <c r="C27" t="inlineStr">
        <is>
          <t>SK = QV100-SASS-100M_INSN-SNAKE-SNAKE_FP1-SK_SC-SK_SC_CTA-SNAKE_HEAD64; SK_R0 = QV100-SASS-100M_INSN-SNAKE-SNAKE_FP1-SK_SC-SK_SC_CTA-SNAKE_HEAD64-SNAKE_MQR0; SK_R0_D0 = QV100-SASS-100M_INSN-SNAKE-SNAKE_FP1-SK_SC-SK_SC_CTA-SNAKE_HEAD64-SNAKE_MQR0-SNAKE_DM0; no prefetching = QV100-SASS-100M_INSN</t>
        </is>
      </c>
      <c r="D27" t="inlineStr">
        <is>
          <t>SK_match_qv100.md Step 1</t>
        </is>
      </c>
    </row>
    <row r="28">
      <c r="A28" t="inlineStr">
        <is>
          <t>setup</t>
        </is>
      </c>
      <c r="B28" t="inlineStr">
        <is>
          <t>slides 2-4: GPU model</t>
        </is>
      </c>
      <c r="C28" t="inlineStr">
        <is>
          <t>base QV100 (SnakeCharmer's V100 setup): 80 SMs, LRR, 1132 MHz</t>
        </is>
      </c>
      <c r="D28" t="inlineStr">
        <is>
          <t>gpgpusim.config of the runs; SK_SC.md §1</t>
        </is>
      </c>
    </row>
    <row r="29">
      <c r="A29" t="inlineStr">
        <is>
          <t>setup</t>
        </is>
      </c>
      <c r="B29" t="inlineStr">
        <is>
          <t>slides 2-4: traces</t>
        </is>
      </c>
      <c r="C29" t="inlineStr">
        <is>
          <t>sm_70</t>
        </is>
      </c>
      <c r="D29" t="inlineStr">
        <is>
          <t>hw_run/*/traces</t>
        </is>
      </c>
    </row>
    <row r="30">
      <c r="A30" t="inlineStr">
        <is>
          <t>setup</t>
        </is>
      </c>
      <c r="B30" t="inlineStr">
        <is>
          <t>slides 2-4: instruction cap</t>
        </is>
      </c>
      <c r="C30" t="inlineStr">
        <is>
          <t>100M instructions (-gpgpu_max_insn 100000000; whole run if shorter)</t>
        </is>
      </c>
      <c r="D30" t="inlineStr">
        <is>
          <t>100M_INSN token</t>
        </is>
      </c>
    </row>
    <row r="31">
      <c r="A31" t="inlineStr">
        <is>
          <t>setup</t>
        </is>
      </c>
      <c r="B31" t="inlineStr">
        <is>
          <t>slides 2-4: workloads</t>
        </is>
      </c>
      <c r="C31" t="inlineStr">
        <is>
          <t>14 workloads: our 7 apps (9 workloads) and SnakeCharmer's apps without bfs (5)</t>
        </is>
      </c>
      <c r="D31" t="inlineStr">
        <is>
          <t>SK_match_qv100.md</t>
        </is>
      </c>
    </row>
    <row r="32">
      <c r="A32" t="inlineStr">
        <is>
          <t>caveat</t>
        </is>
      </c>
      <c r="B32" t="inlineStr">
        <is>
          <t>SnakeCharmer's numbers</t>
        </is>
      </c>
      <c r="C32" t="inlineStr">
        <is>
          <t>A100 averages over its 14 apps, full runs, with a zero-compressed cache. Ours: the V100 model at 100M instructions, 14 workloads: our 7 apps (9 workloads) and SnakeCharmer's apps without bfs (5)</t>
        </is>
      </c>
      <c r="D32" t="inlineStr">
        <is>
          <t>SK_SC.md §4, §8</t>
        </is>
      </c>
    </row>
    <row r="33">
      <c r="A33" t="inlineStr">
        <is>
          <t>caveat</t>
        </is>
      </c>
      <c r="B33" t="inlineStr">
        <is>
          <t>accuracy definitions differ</t>
        </is>
      </c>
      <c r="C33" t="inlineStr">
        <is>
          <t>the Snake paper's 'accuracy' is timely coverage (per demand sector); SnakeCharmer's is per prefetch fill (accuracy_sc); our too-early sectors are outside accuracy_sc</t>
        </is>
      </c>
      <c r="D33" t="inlineStr">
        <is>
          <t>docs/snake/SPEC.md OQ-14, OQ-36</t>
        </is>
      </c>
    </row>
    <row r="34">
      <c r="A34" t="inlineStr">
        <is>
          <t>caveat</t>
        </is>
      </c>
      <c r="B34" t="inlineStr">
        <is>
          <t>particlefilter_naive dominates the means</t>
        </is>
      </c>
      <c r="C34" t="inlineStr">
        <is>
          <t>SK_R0_D0 IPC GMEAN over all workloads +4.77%, without particlefilter_naive +0.57%; it also dominates arithmetic means of the rates</t>
        </is>
      </c>
      <c r="D34" t="inlineStr">
        <is>
          <t>sheet 'Best Snake vs no prefetching'</t>
        </is>
      </c>
    </row>
    <row r="35">
      <c r="A35" t="inlineStr">
        <is>
          <t>caveat</t>
        </is>
      </c>
      <c r="B35" t="inlineStr">
        <is>
          <t>no real A100 traces</t>
        </is>
      </c>
      <c r="C35" t="inlineStr">
        <is>
          <t>no sm_80 traces exist locally; every run uses V100 (sm_70) traces, so SnakeCharmer's A100 setup was not run</t>
        </is>
      </c>
      <c r="D35" t="inlineStr">
        <is>
          <t>SK_SC.md §2</t>
        </is>
      </c>
    </row>
    <row r="36">
      <c r="A36" t="inlineStr">
        <is>
          <t>caveat</t>
        </is>
      </c>
      <c r="B36" t="inlineStr">
        <is>
          <t>paper values</t>
        </is>
      </c>
      <c r="C36" t="inlineStr">
        <is>
          <t>Snake paper values are read off bar charts (±3 pp); its averages are recomputed over our 7 apps</t>
        </is>
      </c>
      <c r="D36" t="inlineStr">
        <is>
          <t>docs/snake/SPEC.md §5</t>
        </is>
      </c>
    </row>
    <row r="37">
      <c r="A37" t="inlineStr">
        <is>
          <t>caveat</t>
        </is>
      </c>
      <c r="B37" t="inlineStr">
        <is>
          <t>inputs and traces</t>
        </is>
      </c>
      <c r="C37" t="inlineStr">
        <is>
          <t>heartwall and streamcluster inputs differ from SnakeCharmer Table II; bfs is excluded (24.8% of global memory lines mis-decoded); streamcluster has 2.3%</t>
        </is>
      </c>
      <c r="D37" t="inlineStr">
        <is>
          <t>SK_SC.md §1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41" customWidth="1" min="4" max="4"/>
    <col width="14" customWidth="1" min="5" max="5"/>
    <col width="50" customWidth="1" min="6" max="6"/>
    <col width="50" customWidth="1" min="7" max="7"/>
    <col width="50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Provenance: every value of the slide sheets with its source, formula, build tags and check against the results docs; then the run dirs, source-file commits, trees and cross-check totals.</t>
        </is>
      </c>
    </row>
    <row r="2">
      <c r="A2" s="1" t="inlineStr">
        <is>
          <t>Generated by util/snake/make_slides_data.py from the accel-sim tree at 77e6f65.</t>
        </is>
      </c>
    </row>
    <row r="3">
      <c r="A3" s="2" t="inlineStr">
        <is>
          <t>kind</t>
        </is>
      </c>
      <c r="B3" s="2" t="inlineStr">
        <is>
          <t>sheet / item</t>
        </is>
      </c>
      <c r="C3" s="2" t="inlineStr">
        <is>
          <t>row</t>
        </is>
      </c>
      <c r="D3" s="2" t="inlineStr">
        <is>
          <t>column</t>
        </is>
      </c>
      <c r="E3" s="2" t="inlineStr">
        <is>
          <t>value</t>
        </is>
      </c>
      <c r="F3" s="2" t="inlineStr">
        <is>
          <t>source (file / run dirs)</t>
        </is>
      </c>
      <c r="G3" s="2" t="inlineStr">
        <is>
          <t>computed as</t>
        </is>
      </c>
      <c r="H3" s="2" t="inlineStr">
        <is>
          <t>build tags / commit</t>
        </is>
      </c>
      <c r="I3" s="2" t="inlineStr">
        <is>
          <t>check vs results docs</t>
        </is>
      </c>
      <c r="J3" s="2" t="inlineStr">
        <is>
          <t>Status</t>
        </is>
      </c>
      <c r="K3" s="2" t="inlineStr">
        <is>
          <t>Notes</t>
        </is>
      </c>
    </row>
    <row r="4">
      <c r="A4" t="inlineStr">
        <is>
          <t>value</t>
        </is>
      </c>
      <c r="B4" t="inlineStr">
        <is>
          <t>vs Snake paper</t>
        </is>
      </c>
      <c r="C4" t="inlineStr">
        <is>
          <t>backprop</t>
        </is>
      </c>
      <c r="D4" t="inlineStr">
        <is>
          <t>paper coverage (Fig. 16)</t>
        </is>
      </c>
      <c r="E4" s="14" t="n">
        <v>83</v>
      </c>
      <c r="F4" t="inlineStr">
        <is>
          <t>docs/snake/SPEC.md §5 (Fig. 16, read off the bar chart, ±3 pp)</t>
        </is>
      </c>
      <c r="G4" t="inlineStr">
        <is>
          <t>paper value for backprop</t>
        </is>
      </c>
      <c r="H4" t="inlineStr"/>
      <c r="I4">
        <f> 83.0 (final_tier1.md §3)</f>
        <v/>
      </c>
      <c r="J4" s="6" t="inlineStr">
        <is>
          <t>Verified (1B final run)</t>
        </is>
      </c>
      <c r="K4" t="inlineStr"/>
    </row>
    <row r="5">
      <c r="A5" t="inlineStr">
        <is>
          <t>value</t>
        </is>
      </c>
      <c r="B5" t="inlineStr">
        <is>
          <t>vs Snake paper</t>
        </is>
      </c>
      <c r="C5" t="inlineStr">
        <is>
          <t>backprop</t>
        </is>
      </c>
      <c r="D5" t="inlineStr">
        <is>
          <t>our predicted coverage (coverage_pred)</t>
        </is>
      </c>
      <c r="E5" s="14" t="n">
        <v>64.6324663055219</v>
      </c>
      <c r="F5" t="inlineStr">
        <is>
          <t>sim_run_snake/runs/backprop-rodinia-3.1/65536/QV100-SASS-PAPER_V100-1B_INSN-SNAKE-SNAKE_FP1</t>
        </is>
      </c>
      <c r="G5" t="inlineStr">
        <is>
          <t>snake_demand_pred_matched / snake_demand_sector_accesses</t>
        </is>
      </c>
      <c r="H5" t="inlineStr">
        <is>
          <t>accelsim-commit-2c3a333_modified_0.0 gpgpu-sim_git-commit-3f635b67_modified_0.0</t>
        </is>
      </c>
      <c r="I5">
        <f> 64.6 (final_tier1.md §3)</f>
        <v/>
      </c>
      <c r="J5" s="6" t="inlineStr">
        <is>
          <t>Verified (1B final run)</t>
        </is>
      </c>
      <c r="K5" t="inlineStr"/>
    </row>
    <row r="6">
      <c r="A6" t="inlineStr">
        <is>
          <t>value</t>
        </is>
      </c>
      <c r="B6" t="inlineStr">
        <is>
          <t>vs Snake paper</t>
        </is>
      </c>
      <c r="C6" t="inlineStr">
        <is>
          <t>backprop</t>
        </is>
      </c>
      <c r="D6" t="inlineStr">
        <is>
          <t>our delivered coverage (coverage_paper)</t>
        </is>
      </c>
      <c r="E6" s="14" t="n">
        <v>12.44328690287763</v>
      </c>
      <c r="F6" t="inlineStr">
        <is>
          <t>sim_run_snake/runs/backprop-rodinia-3.1/65536/QV100-SASS-PAPER_V100-1B_INSN-SNAKE-SNAKE_FP1</t>
        </is>
      </c>
      <c r="G6" t="inlineStr">
        <is>
          <t>(snake_pf_useful_timely + snake_pf_late) / snake_demand_sector_accesses</t>
        </is>
      </c>
      <c r="H6" t="inlineStr">
        <is>
          <t>accelsim-commit-2c3a333_modified_0.0 gpgpu-sim_git-commit-3f635b67_modified_0.0</t>
        </is>
      </c>
      <c r="I6">
        <f> 12.4 (final_tier1.md §3)</f>
        <v/>
      </c>
      <c r="J6" s="6" t="inlineStr">
        <is>
          <t>Verified (1B final run)</t>
        </is>
      </c>
      <c r="K6" t="inlineStr"/>
    </row>
    <row r="7">
      <c r="A7" t="inlineStr">
        <is>
          <t>value</t>
        </is>
      </c>
      <c r="B7" t="inlineStr">
        <is>
          <t>vs Snake paper</t>
        </is>
      </c>
      <c r="C7" t="inlineStr">
        <is>
          <t>backprop</t>
        </is>
      </c>
      <c r="D7" t="inlineStr">
        <is>
          <t>paper accuracy, timely (Fig. 17)</t>
        </is>
      </c>
      <c r="E7" s="14" t="n">
        <v>68</v>
      </c>
      <c r="F7" t="inlineStr">
        <is>
          <t>docs/snake/SPEC.md §5 (Fig. 17, read off the bar chart, ±3 pp)</t>
        </is>
      </c>
      <c r="G7" t="inlineStr">
        <is>
          <t>paper value for backprop</t>
        </is>
      </c>
      <c r="H7" t="inlineStr"/>
      <c r="I7">
        <f> 68.0 (final_tier1.md §3)</f>
        <v/>
      </c>
      <c r="J7" s="6" t="inlineStr">
        <is>
          <t>Verified (1B final run)</t>
        </is>
      </c>
      <c r="K7" t="inlineStr"/>
    </row>
    <row r="8">
      <c r="A8" t="inlineStr">
        <is>
          <t>value</t>
        </is>
      </c>
      <c r="B8" t="inlineStr">
        <is>
          <t>vs Snake paper</t>
        </is>
      </c>
      <c r="C8" t="inlineStr">
        <is>
          <t>backprop</t>
        </is>
      </c>
      <c r="D8" t="inlineStr">
        <is>
          <t>our timely accuracy (accuracy_paper)</t>
        </is>
      </c>
      <c r="E8" s="14" t="n">
        <v>0.2220824874879855</v>
      </c>
      <c r="F8" t="inlineStr">
        <is>
          <t>sim_run_snake/runs/backprop-rodinia-3.1/65536/QV100-SASS-PAPER_V100-1B_INSN-SNAKE-SNAKE_FP1</t>
        </is>
      </c>
      <c r="G8" t="inlineStr">
        <is>
          <t>snake_pf_useful_timely / snake_demand_sector_accesses</t>
        </is>
      </c>
      <c r="H8" t="inlineStr">
        <is>
          <t>accelsim-commit-2c3a333_modified_0.0 gpgpu-sim_git-commit-3f635b67_modified_0.0</t>
        </is>
      </c>
      <c r="I8">
        <f> 0.2 (final_tier1.md §3)</f>
        <v/>
      </c>
      <c r="J8" s="6" t="inlineStr">
        <is>
          <t>Verified (1B final run)</t>
        </is>
      </c>
      <c r="K8" t="inlineStr"/>
    </row>
    <row r="9">
      <c r="A9" t="inlineStr">
        <is>
          <t>value</t>
        </is>
      </c>
      <c r="B9" t="inlineStr">
        <is>
          <t>vs Snake paper</t>
        </is>
      </c>
      <c r="C9" t="inlineStr">
        <is>
          <t>backprop</t>
        </is>
      </c>
      <c r="D9" t="inlineStr">
        <is>
          <t>paper IPC gain (Fig. 18)</t>
        </is>
      </c>
      <c r="E9" s="14" t="n">
        <v>1</v>
      </c>
      <c r="F9" t="inlineStr">
        <is>
          <t>docs/snake/SPEC.md §5 (Fig. 18, read off the bar chart, ±3 pp)</t>
        </is>
      </c>
      <c r="G9" t="inlineStr">
        <is>
          <t>paper value for backprop</t>
        </is>
      </c>
      <c r="H9" t="inlineStr"/>
      <c r="I9">
        <f> 1.0 (final_tier1.md §3); = 1.0 (D1_ceilings.md §5 PAPER_V100)</f>
        <v/>
      </c>
      <c r="J9" s="6" t="inlineStr">
        <is>
          <t>Verified (1B final run)</t>
        </is>
      </c>
      <c r="K9" t="inlineStr"/>
    </row>
    <row r="10">
      <c r="A10" t="inlineStr">
        <is>
          <t>value</t>
        </is>
      </c>
      <c r="B10" t="inlineStr">
        <is>
          <t>vs Snake paper</t>
        </is>
      </c>
      <c r="C10" t="inlineStr">
        <is>
          <t>backprop</t>
        </is>
      </c>
      <c r="D10" t="inlineStr">
        <is>
          <t>our IPC gain</t>
        </is>
      </c>
      <c r="E10" s="14" t="n">
        <v>-0.2025773966327971</v>
      </c>
      <c r="F10" t="inlineStr">
        <is>
          <t>sim_run_snake/runs/backprop-rodinia-3.1/65536/QV100-SASS-PAPER_V100-1B_INSN-SNAKE-SNAKE_FP1; sim_run_baseline/runs/backprop-rodinia-3.1/65536/QV100-SASS-PAPER_V100-1B_INSN</t>
        </is>
      </c>
      <c r="G10" t="inlineStr">
        <is>
          <t>gpu_tot_ipc Snake / gpu_tot_ipc baseline - 1</t>
        </is>
      </c>
      <c r="H10" t="inlineStr">
        <is>
          <t>accelsim-commit-2c3a333_modified_0.0 gpgpu-sim_git-commit-3f635b67_modified_0.0</t>
        </is>
      </c>
      <c r="I10">
        <f> -0.2 (final_tier1.md §3); = -0.2 (D1_ceilings.md §5 PAPER_V100); = 2493.5161 (final_tier1.csv ipc (QV100-SASS-PAPER_V100-1B_INSN)); = 2488.4648 (final_tier1.csv ipc (QV100-SASS-PAPER_V100-1B_INSN-SNAKE-SNAKE_FP1))</f>
        <v/>
      </c>
      <c r="J10" s="6" t="inlineStr">
        <is>
          <t>Verified (1B final run)</t>
        </is>
      </c>
      <c r="K10" t="inlineStr"/>
    </row>
    <row r="11">
      <c r="A11" t="inlineStr">
        <is>
          <t>value</t>
        </is>
      </c>
      <c r="B11" t="inlineStr">
        <is>
          <t>vs Snake paper</t>
        </is>
      </c>
      <c r="C11" t="inlineStr">
        <is>
          <t>backprop</t>
        </is>
      </c>
      <c r="D11" t="inlineStr">
        <is>
          <t>perfect-L1 ceiling</t>
        </is>
      </c>
      <c r="E11" s="14" t="n">
        <v>41.67656667626891</v>
      </c>
      <c r="F11" t="inlineStr">
        <is>
          <t>sim_run_snake_gate/D1_pl1d/runs/backprop-rodinia-3.1/65536/QV100-SASS-PAPER_V100-1B_INSN-PERFECT_L1D; sim_run_baseline/runs/backprop-rodinia-3.1/65536/QV100-SASS-PAPER_V100-1B_INSN</t>
        </is>
      </c>
      <c r="G11" t="inlineStr">
        <is>
          <t>gpu_tot_ipc perfect L1D / gpu_tot_ipc baseline - 1</t>
        </is>
      </c>
      <c r="H11" t="inlineStr">
        <is>
          <t>accelsim-commit-2c3a333_modified_0.0 accelsim-commit-ac28769_modified_0.0 gpgpu-sim_git-commit-3f635b67_modified_0.0 gpgpu-sim_git-commit-7ed7810e_modified_0.0</t>
        </is>
      </c>
      <c r="I11">
        <f> 41.7 (D1_ceilings.md §5 PAPER_V100)</f>
        <v/>
      </c>
      <c r="J11" s="6" t="inlineStr">
        <is>
          <t>Verified (1B final run)</t>
        </is>
      </c>
      <c r="K11" t="inlineStr"/>
    </row>
    <row r="12">
      <c r="A12" t="inlineStr">
        <is>
          <t>value</t>
        </is>
      </c>
      <c r="B12" t="inlineStr">
        <is>
          <t>vs Snake paper</t>
        </is>
      </c>
      <c r="C12" t="inlineStr">
        <is>
          <t>backprop</t>
        </is>
      </c>
      <c r="D12" t="inlineStr">
        <is>
          <t>L1 hit baseline</t>
        </is>
      </c>
      <c r="E12" s="14" t="n">
        <v>41.70062870372555</v>
      </c>
      <c r="F12" t="inlineStr">
        <is>
          <t>sim_run_baseline/runs/backprop-rodinia-3.1/65536/QV100-SASS-PAPER_V100-1B_INSN</t>
        </is>
      </c>
      <c r="G12" t="inlineStr">
        <is>
          <t>GLOBAL_ACC_R HIT / TOTAL_ACCESS (baseline)</t>
        </is>
      </c>
      <c r="H12" t="inlineStr">
        <is>
          <t>accelsim-commit-2c3a333_modified_0.0 gpgpu-sim_git-commit-3f635b67_modified_0.0</t>
        </is>
      </c>
      <c r="I12">
        <f> 41.7 (final_tier1.md §3); = 41.70062870372555 (final_tier1.csv l1_hit_rate)</f>
        <v/>
      </c>
      <c r="J12" s="6" t="inlineStr">
        <is>
          <t>Verified (1B final run)</t>
        </is>
      </c>
      <c r="K12" t="inlineStr"/>
    </row>
    <row r="13">
      <c r="A13" t="inlineStr">
        <is>
          <t>value</t>
        </is>
      </c>
      <c r="B13" t="inlineStr">
        <is>
          <t>vs Snake paper</t>
        </is>
      </c>
      <c r="C13" t="inlineStr">
        <is>
          <t>backprop</t>
        </is>
      </c>
      <c r="D13" t="inlineStr">
        <is>
          <t>L1 hit Snake</t>
        </is>
      </c>
      <c r="E13" s="14" t="n">
        <v>42.26614406331966</v>
      </c>
      <c r="F13" t="inlineStr">
        <is>
          <t>sim_run_snake/runs/backprop-rodinia-3.1/65536/QV100-SASS-PAPER_V100-1B_INSN-SNAKE-SNAKE_FP1</t>
        </is>
      </c>
      <c r="G13" t="inlineStr">
        <is>
          <t>GLOBAL_ACC_R HIT / TOTAL_ACCESS (Snake)</t>
        </is>
      </c>
      <c r="H13" t="inlineStr">
        <is>
          <t>accelsim-commit-2c3a333_modified_0.0 gpgpu-sim_git-commit-3f635b67_modified_0.0</t>
        </is>
      </c>
      <c r="I13">
        <f> 42.3 (final_tier1.md §3); = 42.266144063319665 (final_tier1.csv l1_hit_rate)</f>
        <v/>
      </c>
      <c r="J13" s="6" t="inlineStr">
        <is>
          <t>Verified (1B final run)</t>
        </is>
      </c>
      <c r="K13" t="inlineStr"/>
    </row>
    <row r="14">
      <c r="A14" t="inlineStr">
        <is>
          <t>value</t>
        </is>
      </c>
      <c r="B14" t="inlineStr">
        <is>
          <t>vs Snake paper</t>
        </is>
      </c>
      <c r="C14" t="inlineStr">
        <is>
          <t>backprop</t>
        </is>
      </c>
      <c r="D14" t="inlineStr">
        <is>
          <t>paper L1 hit baseline (Fig. 25 avg)</t>
        </is>
      </c>
      <c r="E14" t="inlineStr">
        <is>
          <t>n/a</t>
        </is>
      </c>
      <c r="F14" t="inlineStr">
        <is>
          <t>docs/snake/SPEC.md §5</t>
        </is>
      </c>
      <c r="G14" t="inlineStr">
        <is>
          <t>Fig. 25 gives the 11-app average only</t>
        </is>
      </c>
      <c r="H14" t="inlineStr"/>
      <c r="I14" t="inlineStr"/>
      <c r="J14" s="6" t="inlineStr">
        <is>
          <t>Verified (1B final run)</t>
        </is>
      </c>
      <c r="K14" t="inlineStr"/>
    </row>
    <row r="15">
      <c r="A15" t="inlineStr">
        <is>
          <t>value</t>
        </is>
      </c>
      <c r="B15" t="inlineStr">
        <is>
          <t>vs Snake paper</t>
        </is>
      </c>
      <c r="C15" t="inlineStr">
        <is>
          <t>backprop</t>
        </is>
      </c>
      <c r="D15" t="inlineStr">
        <is>
          <t>paper L1 hit Snake (Fig. 25 avg)</t>
        </is>
      </c>
      <c r="E15" t="inlineStr">
        <is>
          <t>n/a</t>
        </is>
      </c>
      <c r="F15" t="inlineStr">
        <is>
          <t>docs/snake/SPEC.md §5</t>
        </is>
      </c>
      <c r="G15" t="inlineStr">
        <is>
          <t>Fig. 25 gives the 11-app average only</t>
        </is>
      </c>
      <c r="H15" t="inlineStr"/>
      <c r="I15" t="inlineStr"/>
      <c r="J15" s="6" t="inlineStr">
        <is>
          <t>Verified (1B final run)</t>
        </is>
      </c>
      <c r="K15" t="inlineStr"/>
    </row>
    <row r="16">
      <c r="A16" t="inlineStr">
        <is>
          <t>value</t>
        </is>
      </c>
      <c r="B16" t="inlineStr">
        <is>
          <t>vs Snake paper</t>
        </is>
      </c>
      <c r="C16" t="inlineStr">
        <is>
          <t>hotspot 1024</t>
        </is>
      </c>
      <c r="D16" t="inlineStr">
        <is>
          <t>paper coverage (Fig. 16)</t>
        </is>
      </c>
      <c r="E16" s="14" t="n">
        <v>88</v>
      </c>
      <c r="F16" t="inlineStr">
        <is>
          <t>docs/snake/SPEC.md §5 (Fig. 16, read off the bar chart, ±3 pp)</t>
        </is>
      </c>
      <c r="G16" t="inlineStr">
        <is>
          <t>paper value for hotspot</t>
        </is>
      </c>
      <c r="H16" t="inlineStr"/>
      <c r="I16">
        <f> 88.0 (final_tier1.md §3)</f>
        <v/>
      </c>
      <c r="J16" s="6" t="inlineStr">
        <is>
          <t>Verified (1B final run)</t>
        </is>
      </c>
      <c r="K16" t="inlineStr"/>
    </row>
    <row r="17">
      <c r="A17" t="inlineStr">
        <is>
          <t>value</t>
        </is>
      </c>
      <c r="B17" t="inlineStr">
        <is>
          <t>vs Snake paper</t>
        </is>
      </c>
      <c r="C17" t="inlineStr">
        <is>
          <t>hotspot 1024</t>
        </is>
      </c>
      <c r="D17" t="inlineStr">
        <is>
          <t>our predicted coverage (coverage_pred)</t>
        </is>
      </c>
      <c r="E17" s="14" t="n">
        <v>93.26663216606291</v>
      </c>
      <c r="F17" t="inlineStr">
        <is>
          <t>sim_run_snake/runs/hotspot-rodinia-3.1/1024_2_2___data_temp_1024___data_power_1024_output_out/QV100-SASS-PAPER_V100-1B_INSN-SNAKE-SNAKE_FP1</t>
        </is>
      </c>
      <c r="G17" t="inlineStr">
        <is>
          <t>snake_demand_pred_matched / snake_demand_sector_accesses</t>
        </is>
      </c>
      <c r="H17" t="inlineStr">
        <is>
          <t>accelsim-commit-2c3a333_modified_0.0 gpgpu-sim_git-commit-3f635b67_modified_0.0</t>
        </is>
      </c>
      <c r="I17">
        <f> 93.3 (final_tier1.md §3)</f>
        <v/>
      </c>
      <c r="J17" s="6" t="inlineStr">
        <is>
          <t>Verified (1B final run)</t>
        </is>
      </c>
      <c r="K17" t="inlineStr"/>
    </row>
    <row r="18">
      <c r="A18" t="inlineStr">
        <is>
          <t>value</t>
        </is>
      </c>
      <c r="B18" t="inlineStr">
        <is>
          <t>vs Snake paper</t>
        </is>
      </c>
      <c r="C18" t="inlineStr">
        <is>
          <t>hotspot 1024</t>
        </is>
      </c>
      <c r="D18" t="inlineStr">
        <is>
          <t>our delivered coverage (coverage_paper)</t>
        </is>
      </c>
      <c r="E18" s="14" t="n">
        <v>69.08012765223391</v>
      </c>
      <c r="F18" t="inlineStr">
        <is>
          <t>sim_run_snake/runs/hotspot-rodinia-3.1/1024_2_2___data_temp_1024___data_power_1024_output_out/QV100-SASS-PAPER_V100-1B_INSN-SNAKE-SNAKE_FP1</t>
        </is>
      </c>
      <c r="G18" t="inlineStr">
        <is>
          <t>(snake_pf_useful_timely + snake_pf_late) / snake_demand_sector_accesses</t>
        </is>
      </c>
      <c r="H18" t="inlineStr">
        <is>
          <t>accelsim-commit-2c3a333_modified_0.0 gpgpu-sim_git-commit-3f635b67_modified_0.0</t>
        </is>
      </c>
      <c r="I18">
        <f> 69.1 (final_tier1.md §3)</f>
        <v/>
      </c>
      <c r="J18" s="6" t="inlineStr">
        <is>
          <t>Verified (1B final run)</t>
        </is>
      </c>
      <c r="K18" t="inlineStr"/>
    </row>
    <row r="19">
      <c r="A19" t="inlineStr">
        <is>
          <t>value</t>
        </is>
      </c>
      <c r="B19" t="inlineStr">
        <is>
          <t>vs Snake paper</t>
        </is>
      </c>
      <c r="C19" t="inlineStr">
        <is>
          <t>hotspot 1024</t>
        </is>
      </c>
      <c r="D19" t="inlineStr">
        <is>
          <t>paper accuracy, timely (Fig. 17)</t>
        </is>
      </c>
      <c r="E19" s="14" t="n">
        <v>85</v>
      </c>
      <c r="F19" t="inlineStr">
        <is>
          <t>docs/snake/SPEC.md §5 (Fig. 17, read off the bar chart, ±3 pp)</t>
        </is>
      </c>
      <c r="G19" t="inlineStr">
        <is>
          <t>paper value for hotspot</t>
        </is>
      </c>
      <c r="H19" t="inlineStr"/>
      <c r="I19">
        <f> 85.0 (final_tier1.md §3)</f>
        <v/>
      </c>
      <c r="J19" s="6" t="inlineStr">
        <is>
          <t>Verified (1B final run)</t>
        </is>
      </c>
      <c r="K19" t="inlineStr"/>
    </row>
    <row r="20">
      <c r="A20" t="inlineStr">
        <is>
          <t>value</t>
        </is>
      </c>
      <c r="B20" t="inlineStr">
        <is>
          <t>vs Snake paper</t>
        </is>
      </c>
      <c r="C20" t="inlineStr">
        <is>
          <t>hotspot 1024</t>
        </is>
      </c>
      <c r="D20" t="inlineStr">
        <is>
          <t>our timely accuracy (accuracy_paper)</t>
        </is>
      </c>
      <c r="E20" s="14" t="n">
        <v>27.04229199010983</v>
      </c>
      <c r="F20" t="inlineStr">
        <is>
          <t>sim_run_snake/runs/hotspot-rodinia-3.1/1024_2_2___data_temp_1024___data_power_1024_output_out/QV100-SASS-PAPER_V100-1B_INSN-SNAKE-SNAKE_FP1</t>
        </is>
      </c>
      <c r="G20" t="inlineStr">
        <is>
          <t>snake_pf_useful_timely / snake_demand_sector_accesses</t>
        </is>
      </c>
      <c r="H20" t="inlineStr">
        <is>
          <t>accelsim-commit-2c3a333_modified_0.0 gpgpu-sim_git-commit-3f635b67_modified_0.0</t>
        </is>
      </c>
      <c r="I20">
        <f> 27.0 (final_tier1.md §3)</f>
        <v/>
      </c>
      <c r="J20" s="6" t="inlineStr">
        <is>
          <t>Verified (1B final run)</t>
        </is>
      </c>
      <c r="K20" t="inlineStr"/>
    </row>
    <row r="21">
      <c r="A21" t="inlineStr">
        <is>
          <t>value</t>
        </is>
      </c>
      <c r="B21" t="inlineStr">
        <is>
          <t>vs Snake paper</t>
        </is>
      </c>
      <c r="C21" t="inlineStr">
        <is>
          <t>hotspot 1024</t>
        </is>
      </c>
      <c r="D21" t="inlineStr">
        <is>
          <t>paper IPC gain (Fig. 18)</t>
        </is>
      </c>
      <c r="E21" s="14" t="n">
        <v>13</v>
      </c>
      <c r="F21" t="inlineStr">
        <is>
          <t>docs/snake/SPEC.md §5 (Fig. 18, read off the bar chart, ±3 pp)</t>
        </is>
      </c>
      <c r="G21" t="inlineStr">
        <is>
          <t>paper value for hotspot</t>
        </is>
      </c>
      <c r="H21" t="inlineStr"/>
      <c r="I21">
        <f> 13.0 (final_tier1.md §3); = 13.0 (D1_ceilings.md §5 PAPER_V100)</f>
        <v/>
      </c>
      <c r="J21" s="6" t="inlineStr">
        <is>
          <t>Verified (1B final run)</t>
        </is>
      </c>
      <c r="K21" t="inlineStr"/>
    </row>
    <row r="22">
      <c r="A22" t="inlineStr">
        <is>
          <t>value</t>
        </is>
      </c>
      <c r="B22" t="inlineStr">
        <is>
          <t>vs Snake paper</t>
        </is>
      </c>
      <c r="C22" t="inlineStr">
        <is>
          <t>hotspot 1024</t>
        </is>
      </c>
      <c r="D22" t="inlineStr">
        <is>
          <t>our IPC gain</t>
        </is>
      </c>
      <c r="E22" s="14" t="n">
        <v>0.1645033269040974</v>
      </c>
      <c r="F22" t="inlineStr">
        <is>
          <t>sim_run_snake/runs/hotspot-rodinia-3.1/1024_2_2___data_temp_1024___data_power_1024_output_out/QV100-SASS-PAPER_V100-1B_INSN-SNAKE-SNAKE_FP1; sim_run_baseline/runs/hotspot-rodinia-3.1/1024_2_2___data_temp_1024___data_power_1024_output_out/QV100-SASS-PAPER_V100-1B_INSN</t>
        </is>
      </c>
      <c r="G22" t="inlineStr">
        <is>
          <t>gpu_tot_ipc Snake / gpu_tot_ipc baseline - 1</t>
        </is>
      </c>
      <c r="H22" t="inlineStr">
        <is>
          <t>accelsim-commit-2c3a333_modified_0.0 gpgpu-sim_git-commit-3f635b67_modified_0.0</t>
        </is>
      </c>
      <c r="I22">
        <f> 0.2 (final_tier1.md §3); = 0.2 (D1_ceilings.md §5 PAPER_V100); = 6186.6226 (final_tier1.csv ipc (QV100-SASS-PAPER_V100-1B_INSN)); = 6196.7998 (final_tier1.csv ipc (QV100-SASS-PAPER_V100-1B_INSN-SNAKE-SNAKE_FP1))</f>
        <v/>
      </c>
      <c r="J22" s="6" t="inlineStr">
        <is>
          <t>Verified (1B final run)</t>
        </is>
      </c>
      <c r="K22" t="inlineStr"/>
    </row>
    <row r="23">
      <c r="A23" t="inlineStr">
        <is>
          <t>value</t>
        </is>
      </c>
      <c r="B23" t="inlineStr">
        <is>
          <t>vs Snake paper</t>
        </is>
      </c>
      <c r="C23" t="inlineStr">
        <is>
          <t>hotspot 1024</t>
        </is>
      </c>
      <c r="D23" t="inlineStr">
        <is>
          <t>perfect-L1 ceiling</t>
        </is>
      </c>
      <c r="E23" s="14" t="n">
        <v>0.1262401233267374</v>
      </c>
      <c r="F23" t="inlineStr">
        <is>
          <t>sim_run_snake_gate/D1_pl1d/runs/hotspot-rodinia-3.1/1024_2_2___data_temp_1024___data_power_1024_output_out/QV100-SASS-PAPER_V100-1B_INSN-PERFECT_L1D; sim_run_baseline/runs/hotspot-rodinia-3.1/1024_2_2___data_temp_1024___data_power_1024_output_out/QV100-SASS-PAPER_V100-1B_INSN</t>
        </is>
      </c>
      <c r="G23" t="inlineStr">
        <is>
          <t>gpu_tot_ipc perfect L1D / gpu_tot_ipc baseline - 1</t>
        </is>
      </c>
      <c r="H23" t="inlineStr">
        <is>
          <t>accelsim-commit-2c3a333_modified_0.0 accelsim-commit-ac28769_modified_0.0 gpgpu-sim_git-commit-3f635b67_modified_0.0 gpgpu-sim_git-commit-7ed7810e_modified_0.0</t>
        </is>
      </c>
      <c r="I23">
        <f> 0.1 (D1_ceilings.md §5 PAPER_V100)</f>
        <v/>
      </c>
      <c r="J23" s="6" t="inlineStr">
        <is>
          <t>Verified (1B final run)</t>
        </is>
      </c>
      <c r="K23" t="inlineStr"/>
    </row>
    <row r="24">
      <c r="A24" t="inlineStr">
        <is>
          <t>value</t>
        </is>
      </c>
      <c r="B24" t="inlineStr">
        <is>
          <t>vs Snake paper</t>
        </is>
      </c>
      <c r="C24" t="inlineStr">
        <is>
          <t>hotspot 1024</t>
        </is>
      </c>
      <c r="D24" t="inlineStr">
        <is>
          <t>L1 hit baseline</t>
        </is>
      </c>
      <c r="E24" s="14" t="n">
        <v>0.6573802541544477</v>
      </c>
      <c r="F24" t="inlineStr">
        <is>
          <t>sim_run_baseline/runs/hotspot-rodinia-3.1/1024_2_2___data_temp_1024___data_power_1024_output_out/QV100-SASS-PAPER_V100-1B_INSN</t>
        </is>
      </c>
      <c r="G24" t="inlineStr">
        <is>
          <t>GLOBAL_ACC_R HIT / TOTAL_ACCESS (baseline)</t>
        </is>
      </c>
      <c r="H24" t="inlineStr">
        <is>
          <t>accelsim-commit-2c3a333_modified_0.0 gpgpu-sim_git-commit-3f635b67_modified_0.0</t>
        </is>
      </c>
      <c r="I24">
        <f> 0.7 (final_tier1.md §3); = 0.6573802541544477 (final_tier1.csv l1_hit_rate)</f>
        <v/>
      </c>
      <c r="J24" s="6" t="inlineStr">
        <is>
          <t>Verified (1B final run)</t>
        </is>
      </c>
      <c r="K24" t="inlineStr"/>
    </row>
    <row r="25">
      <c r="A25" t="inlineStr">
        <is>
          <t>value</t>
        </is>
      </c>
      <c r="B25" t="inlineStr">
        <is>
          <t>vs Snake paper</t>
        </is>
      </c>
      <c r="C25" t="inlineStr">
        <is>
          <t>hotspot 1024</t>
        </is>
      </c>
      <c r="D25" t="inlineStr">
        <is>
          <t>L1 hit Snake</t>
        </is>
      </c>
      <c r="E25" s="14" t="n">
        <v>27.85880627910988</v>
      </c>
      <c r="F25" t="inlineStr">
        <is>
          <t>sim_run_snake/runs/hotspot-rodinia-3.1/1024_2_2___data_temp_1024___data_power_1024_output_out/QV100-SASS-PAPER_V100-1B_INSN-SNAKE-SNAKE_FP1</t>
        </is>
      </c>
      <c r="G25" t="inlineStr">
        <is>
          <t>GLOBAL_ACC_R HIT / TOTAL_ACCESS (Snake)</t>
        </is>
      </c>
      <c r="H25" t="inlineStr">
        <is>
          <t>accelsim-commit-2c3a333_modified_0.0 gpgpu-sim_git-commit-3f635b67_modified_0.0</t>
        </is>
      </c>
      <c r="I25">
        <f> 27.9 (final_tier1.md §3); = 27.858806279109885 (final_tier1.csv l1_hit_rate)</f>
        <v/>
      </c>
      <c r="J25" s="6" t="inlineStr">
        <is>
          <t>Verified (1B final run)</t>
        </is>
      </c>
      <c r="K25" t="inlineStr"/>
    </row>
    <row r="26">
      <c r="A26" t="inlineStr">
        <is>
          <t>value</t>
        </is>
      </c>
      <c r="B26" t="inlineStr">
        <is>
          <t>vs Snake paper</t>
        </is>
      </c>
      <c r="C26" t="inlineStr">
        <is>
          <t>hotspot 1024</t>
        </is>
      </c>
      <c r="D26" t="inlineStr">
        <is>
          <t>paper L1 hit baseline (Fig. 25 avg)</t>
        </is>
      </c>
      <c r="E26" t="inlineStr">
        <is>
          <t>n/a</t>
        </is>
      </c>
      <c r="F26" t="inlineStr">
        <is>
          <t>docs/snake/SPEC.md §5</t>
        </is>
      </c>
      <c r="G26" t="inlineStr">
        <is>
          <t>Fig. 25 gives the 11-app average only</t>
        </is>
      </c>
      <c r="H26" t="inlineStr"/>
      <c r="I26" t="inlineStr"/>
      <c r="J26" s="6" t="inlineStr">
        <is>
          <t>Verified (1B final run)</t>
        </is>
      </c>
      <c r="K26" t="inlineStr"/>
    </row>
    <row r="27">
      <c r="A27" t="inlineStr">
        <is>
          <t>value</t>
        </is>
      </c>
      <c r="B27" t="inlineStr">
        <is>
          <t>vs Snake paper</t>
        </is>
      </c>
      <c r="C27" t="inlineStr">
        <is>
          <t>hotspot 1024</t>
        </is>
      </c>
      <c r="D27" t="inlineStr">
        <is>
          <t>paper L1 hit Snake (Fig. 25 avg)</t>
        </is>
      </c>
      <c r="E27" t="inlineStr">
        <is>
          <t>n/a</t>
        </is>
      </c>
      <c r="F27" t="inlineStr">
        <is>
          <t>docs/snake/SPEC.md §5</t>
        </is>
      </c>
      <c r="G27" t="inlineStr">
        <is>
          <t>Fig. 25 gives the 11-app average only</t>
        </is>
      </c>
      <c r="H27" t="inlineStr"/>
      <c r="I27" t="inlineStr"/>
      <c r="J27" s="6" t="inlineStr">
        <is>
          <t>Verified (1B final run)</t>
        </is>
      </c>
      <c r="K27" t="inlineStr"/>
    </row>
    <row r="28">
      <c r="A28" t="inlineStr">
        <is>
          <t>value</t>
        </is>
      </c>
      <c r="B28" t="inlineStr">
        <is>
          <t>vs Snake paper</t>
        </is>
      </c>
      <c r="C28" t="inlineStr">
        <is>
          <t>hotspot 512</t>
        </is>
      </c>
      <c r="D28" t="inlineStr">
        <is>
          <t>paper coverage (Fig. 16)</t>
        </is>
      </c>
      <c r="E28" s="14" t="n">
        <v>88</v>
      </c>
      <c r="F28" t="inlineStr">
        <is>
          <t>docs/snake/SPEC.md §5 (Fig. 16, read off the bar chart, ±3 pp)</t>
        </is>
      </c>
      <c r="G28" t="inlineStr">
        <is>
          <t>paper value for hotspot</t>
        </is>
      </c>
      <c r="H28" t="inlineStr"/>
      <c r="I28">
        <f> 88.0 (final_tier1.md §3)</f>
        <v/>
      </c>
      <c r="J28" s="6" t="inlineStr">
        <is>
          <t>Verified (1B final run)</t>
        </is>
      </c>
      <c r="K28" t="inlineStr"/>
    </row>
    <row r="29">
      <c r="A29" t="inlineStr">
        <is>
          <t>value</t>
        </is>
      </c>
      <c r="B29" t="inlineStr">
        <is>
          <t>vs Snake paper</t>
        </is>
      </c>
      <c r="C29" t="inlineStr">
        <is>
          <t>hotspot 512</t>
        </is>
      </c>
      <c r="D29" t="inlineStr">
        <is>
          <t>our predicted coverage (coverage_pred)</t>
        </is>
      </c>
      <c r="E29" s="14" t="n">
        <v>90.64323761000463</v>
      </c>
      <c r="F29" t="inlineStr">
        <is>
          <t>sim_run_snake/runs/hotspot-rodinia-3.1/512_2_2___data_temp_512___data_power_512_output_out/QV100-SASS-PAPER_V100-1B_INSN-SNAKE-SNAKE_FP1</t>
        </is>
      </c>
      <c r="G29" t="inlineStr">
        <is>
          <t>snake_demand_pred_matched / snake_demand_sector_accesses</t>
        </is>
      </c>
      <c r="H29" t="inlineStr">
        <is>
          <t>accelsim-commit-2c3a333_modified_0.0 gpgpu-sim_git-commit-3f635b67_modified_0.0</t>
        </is>
      </c>
      <c r="I29">
        <f> 90.6 (final_tier1.md §3)</f>
        <v/>
      </c>
      <c r="J29" s="6" t="inlineStr">
        <is>
          <t>Verified (1B final run)</t>
        </is>
      </c>
      <c r="K29" t="inlineStr"/>
    </row>
    <row r="30">
      <c r="A30" t="inlineStr">
        <is>
          <t>value</t>
        </is>
      </c>
      <c r="B30" t="inlineStr">
        <is>
          <t>vs Snake paper</t>
        </is>
      </c>
      <c r="C30" t="inlineStr">
        <is>
          <t>hotspot 512</t>
        </is>
      </c>
      <c r="D30" t="inlineStr">
        <is>
          <t>our delivered coverage (coverage_paper)</t>
        </is>
      </c>
      <c r="E30" s="14" t="n">
        <v>59.51366373320982</v>
      </c>
      <c r="F30" t="inlineStr">
        <is>
          <t>sim_run_snake/runs/hotspot-rodinia-3.1/512_2_2___data_temp_512___data_power_512_output_out/QV100-SASS-PAPER_V100-1B_INSN-SNAKE-SNAKE_FP1</t>
        </is>
      </c>
      <c r="G30" t="inlineStr">
        <is>
          <t>(snake_pf_useful_timely + snake_pf_late) / snake_demand_sector_accesses</t>
        </is>
      </c>
      <c r="H30" t="inlineStr">
        <is>
          <t>accelsim-commit-2c3a333_modified_0.0 gpgpu-sim_git-commit-3f635b67_modified_0.0</t>
        </is>
      </c>
      <c r="I30">
        <f> 59.5 (final_tier1.md §3)</f>
        <v/>
      </c>
      <c r="J30" s="6" t="inlineStr">
        <is>
          <t>Verified (1B final run)</t>
        </is>
      </c>
      <c r="K30" t="inlineStr"/>
    </row>
    <row r="31">
      <c r="A31" t="inlineStr">
        <is>
          <t>value</t>
        </is>
      </c>
      <c r="B31" t="inlineStr">
        <is>
          <t>vs Snake paper</t>
        </is>
      </c>
      <c r="C31" t="inlineStr">
        <is>
          <t>hotspot 512</t>
        </is>
      </c>
      <c r="D31" t="inlineStr">
        <is>
          <t>paper accuracy, timely (Fig. 17)</t>
        </is>
      </c>
      <c r="E31" s="14" t="n">
        <v>85</v>
      </c>
      <c r="F31" t="inlineStr">
        <is>
          <t>docs/snake/SPEC.md §5 (Fig. 17, read off the bar chart, ±3 pp)</t>
        </is>
      </c>
      <c r="G31" t="inlineStr">
        <is>
          <t>paper value for hotspot</t>
        </is>
      </c>
      <c r="H31" t="inlineStr"/>
      <c r="I31">
        <f> 85.0 (final_tier1.md §3)</f>
        <v/>
      </c>
      <c r="J31" s="6" t="inlineStr">
        <is>
          <t>Verified (1B final run)</t>
        </is>
      </c>
      <c r="K31" t="inlineStr"/>
    </row>
    <row r="32">
      <c r="A32" t="inlineStr">
        <is>
          <t>value</t>
        </is>
      </c>
      <c r="B32" t="inlineStr">
        <is>
          <t>vs Snake paper</t>
        </is>
      </c>
      <c r="C32" t="inlineStr">
        <is>
          <t>hotspot 512</t>
        </is>
      </c>
      <c r="D32" t="inlineStr">
        <is>
          <t>our timely accuracy (accuracy_paper)</t>
        </is>
      </c>
      <c r="E32" s="14" t="n">
        <v>26.38490041685966</v>
      </c>
      <c r="F32" t="inlineStr">
        <is>
          <t>sim_run_snake/runs/hotspot-rodinia-3.1/512_2_2___data_temp_512___data_power_512_output_out/QV100-SASS-PAPER_V100-1B_INSN-SNAKE-SNAKE_FP1</t>
        </is>
      </c>
      <c r="G32" t="inlineStr">
        <is>
          <t>snake_pf_useful_timely / snake_demand_sector_accesses</t>
        </is>
      </c>
      <c r="H32" t="inlineStr">
        <is>
          <t>accelsim-commit-2c3a333_modified_0.0 gpgpu-sim_git-commit-3f635b67_modified_0.0</t>
        </is>
      </c>
      <c r="I32">
        <f> 26.4 (final_tier1.md §3)</f>
        <v/>
      </c>
      <c r="J32" s="6" t="inlineStr">
        <is>
          <t>Verified (1B final run)</t>
        </is>
      </c>
      <c r="K32" t="inlineStr"/>
    </row>
    <row r="33">
      <c r="A33" t="inlineStr">
        <is>
          <t>value</t>
        </is>
      </c>
      <c r="B33" t="inlineStr">
        <is>
          <t>vs Snake paper</t>
        </is>
      </c>
      <c r="C33" t="inlineStr">
        <is>
          <t>hotspot 512</t>
        </is>
      </c>
      <c r="D33" t="inlineStr">
        <is>
          <t>paper IPC gain (Fig. 18)</t>
        </is>
      </c>
      <c r="E33" s="14" t="n">
        <v>13</v>
      </c>
      <c r="F33" t="inlineStr">
        <is>
          <t>docs/snake/SPEC.md §5 (Fig. 18, read off the bar chart, ±3 pp)</t>
        </is>
      </c>
      <c r="G33" t="inlineStr">
        <is>
          <t>paper value for hotspot</t>
        </is>
      </c>
      <c r="H33" t="inlineStr"/>
      <c r="I33">
        <f> 13.0 (final_tier1.md §3); = 13.0 (D1_ceilings.md §5 PAPER_V100)</f>
        <v/>
      </c>
      <c r="J33" s="6" t="inlineStr">
        <is>
          <t>Verified (1B final run)</t>
        </is>
      </c>
      <c r="K33" t="inlineStr"/>
    </row>
    <row r="34">
      <c r="A34" t="inlineStr">
        <is>
          <t>value</t>
        </is>
      </c>
      <c r="B34" t="inlineStr">
        <is>
          <t>vs Snake paper</t>
        </is>
      </c>
      <c r="C34" t="inlineStr">
        <is>
          <t>hotspot 512</t>
        </is>
      </c>
      <c r="D34" t="inlineStr">
        <is>
          <t>our IPC gain</t>
        </is>
      </c>
      <c r="E34" s="14" t="n">
        <v>0.1271509043242247</v>
      </c>
      <c r="F34" t="inlineStr">
        <is>
          <t>sim_run_snake/runs/hotspot-rodinia-3.1/512_2_2___data_temp_512___data_power_512_output_out/QV100-SASS-PAPER_V100-1B_INSN-SNAKE-SNAKE_FP1; sim_run_baseline/runs/hotspot-rodinia-3.1/512_2_2___data_temp_512___data_power_512_output_out/QV100-SASS-PAPER_V100-1B_INSN</t>
        </is>
      </c>
      <c r="G34" t="inlineStr">
        <is>
          <t>gpu_tot_ipc Snake / gpu_tot_ipc baseline - 1</t>
        </is>
      </c>
      <c r="H34" t="inlineStr">
        <is>
          <t>accelsim-commit-2c3a333_modified_0.0 gpgpu-sim_git-commit-3f635b67_modified_0.0</t>
        </is>
      </c>
      <c r="I34">
        <f> 0.1 (final_tier1.md §3); = 0.1 (D1_ceilings.md §5 PAPER_V100); = 4733.3521 (final_tier1.csv ipc (QV100-SASS-PAPER_V100-1B_INSN)); = 4739.3706 (final_tier1.csv ipc (QV100-SASS-PAPER_V100-1B_INSN-SNAKE-SNAKE_FP1))</f>
        <v/>
      </c>
      <c r="J34" s="6" t="inlineStr">
        <is>
          <t>Verified (1B final run)</t>
        </is>
      </c>
      <c r="K34" t="inlineStr"/>
    </row>
    <row r="35">
      <c r="A35" t="inlineStr">
        <is>
          <t>value</t>
        </is>
      </c>
      <c r="B35" t="inlineStr">
        <is>
          <t>vs Snake paper</t>
        </is>
      </c>
      <c r="C35" t="inlineStr">
        <is>
          <t>hotspot 512</t>
        </is>
      </c>
      <c r="D35" t="inlineStr">
        <is>
          <t>perfect-L1 ceiling</t>
        </is>
      </c>
      <c r="E35" s="14" t="n">
        <v>0.3312789682390127</v>
      </c>
      <c r="F35" t="inlineStr">
        <is>
          <t>sim_run_snake_gate/D1_pl1d/runs/hotspot-rodinia-3.1/512_2_2___data_temp_512___data_power_512_output_out/QV100-SASS-PAPER_V100-1B_INSN-PERFECT_L1D; sim_run_baseline/runs/hotspot-rodinia-3.1/512_2_2___data_temp_512___data_power_512_output_out/QV100-SASS-PAPER_V100-1B_INSN</t>
        </is>
      </c>
      <c r="G35" t="inlineStr">
        <is>
          <t>gpu_tot_ipc perfect L1D / gpu_tot_ipc baseline - 1</t>
        </is>
      </c>
      <c r="H35" t="inlineStr">
        <is>
          <t>accelsim-commit-2c3a333_modified_0.0 accelsim-commit-ac28769_modified_0.0 gpgpu-sim_git-commit-3f635b67_modified_0.0 gpgpu-sim_git-commit-7ed7810e_modified_0.0</t>
        </is>
      </c>
      <c r="I35">
        <f> 0.3 (D1_ceilings.md §5 PAPER_V100)</f>
        <v/>
      </c>
      <c r="J35" s="6" t="inlineStr">
        <is>
          <t>Verified (1B final run)</t>
        </is>
      </c>
      <c r="K35" t="inlineStr"/>
    </row>
    <row r="36">
      <c r="A36" t="inlineStr">
        <is>
          <t>value</t>
        </is>
      </c>
      <c r="B36" t="inlineStr">
        <is>
          <t>vs Snake paper</t>
        </is>
      </c>
      <c r="C36" t="inlineStr">
        <is>
          <t>hotspot 512</t>
        </is>
      </c>
      <c r="D36" t="inlineStr">
        <is>
          <t>L1 hit baseline</t>
        </is>
      </c>
      <c r="E36" s="14" t="n">
        <v>0.1864289022695692</v>
      </c>
      <c r="F36" t="inlineStr">
        <is>
          <t>sim_run_baseline/runs/hotspot-rodinia-3.1/512_2_2___data_temp_512___data_power_512_output_out/QV100-SASS-PAPER_V100-1B_INSN</t>
        </is>
      </c>
      <c r="G36" t="inlineStr">
        <is>
          <t>GLOBAL_ACC_R HIT / TOTAL_ACCESS (baseline)</t>
        </is>
      </c>
      <c r="H36" t="inlineStr">
        <is>
          <t>accelsim-commit-2c3a333_modified_0.0 gpgpu-sim_git-commit-3f635b67_modified_0.0</t>
        </is>
      </c>
      <c r="I36">
        <f> 0.2 (final_tier1.md §3); = 0.18642890226956924 (final_tier1.csv l1_hit_rate)</f>
        <v/>
      </c>
      <c r="J36" s="6" t="inlineStr">
        <is>
          <t>Verified (1B final run)</t>
        </is>
      </c>
      <c r="K36" t="inlineStr"/>
    </row>
    <row r="37">
      <c r="A37" t="inlineStr">
        <is>
          <t>value</t>
        </is>
      </c>
      <c r="B37" t="inlineStr">
        <is>
          <t>vs Snake paper</t>
        </is>
      </c>
      <c r="C37" t="inlineStr">
        <is>
          <t>hotspot 512</t>
        </is>
      </c>
      <c r="D37" t="inlineStr">
        <is>
          <t>L1 hit Snake</t>
        </is>
      </c>
      <c r="E37" s="14" t="n">
        <v>26.56206577119037</v>
      </c>
      <c r="F37" t="inlineStr">
        <is>
          <t>sim_run_snake/runs/hotspot-rodinia-3.1/512_2_2___data_temp_512___data_power_512_output_out/QV100-SASS-PAPER_V100-1B_INSN-SNAKE-SNAKE_FP1</t>
        </is>
      </c>
      <c r="G37" t="inlineStr">
        <is>
          <t>GLOBAL_ACC_R HIT / TOTAL_ACCESS (Snake)</t>
        </is>
      </c>
      <c r="H37" t="inlineStr">
        <is>
          <t>accelsim-commit-2c3a333_modified_0.0 gpgpu-sim_git-commit-3f635b67_modified_0.0</t>
        </is>
      </c>
      <c r="I37">
        <f> 26.6 (final_tier1.md §3); = 26.562065771190365 (final_tier1.csv l1_hit_rate)</f>
        <v/>
      </c>
      <c r="J37" s="6" t="inlineStr">
        <is>
          <t>Verified (1B final run)</t>
        </is>
      </c>
      <c r="K37" t="inlineStr"/>
    </row>
    <row r="38">
      <c r="A38" t="inlineStr">
        <is>
          <t>value</t>
        </is>
      </c>
      <c r="B38" t="inlineStr">
        <is>
          <t>vs Snake paper</t>
        </is>
      </c>
      <c r="C38" t="inlineStr">
        <is>
          <t>hotspot 512</t>
        </is>
      </c>
      <c r="D38" t="inlineStr">
        <is>
          <t>paper L1 hit baseline (Fig. 25 avg)</t>
        </is>
      </c>
      <c r="E38" t="inlineStr">
        <is>
          <t>n/a</t>
        </is>
      </c>
      <c r="F38" t="inlineStr">
        <is>
          <t>docs/snake/SPEC.md §5</t>
        </is>
      </c>
      <c r="G38" t="inlineStr">
        <is>
          <t>Fig. 25 gives the 11-app average only</t>
        </is>
      </c>
      <c r="H38" t="inlineStr"/>
      <c r="I38" t="inlineStr"/>
      <c r="J38" s="6" t="inlineStr">
        <is>
          <t>Verified (1B final run)</t>
        </is>
      </c>
      <c r="K38" t="inlineStr"/>
    </row>
    <row r="39">
      <c r="A39" t="inlineStr">
        <is>
          <t>value</t>
        </is>
      </c>
      <c r="B39" t="inlineStr">
        <is>
          <t>vs Snake paper</t>
        </is>
      </c>
      <c r="C39" t="inlineStr">
        <is>
          <t>hotspot 512</t>
        </is>
      </c>
      <c r="D39" t="inlineStr">
        <is>
          <t>paper L1 hit Snake (Fig. 25 avg)</t>
        </is>
      </c>
      <c r="E39" t="inlineStr">
        <is>
          <t>n/a</t>
        </is>
      </c>
      <c r="F39" t="inlineStr">
        <is>
          <t>docs/snake/SPEC.md §5</t>
        </is>
      </c>
      <c r="G39" t="inlineStr">
        <is>
          <t>Fig. 25 gives the 11-app average only</t>
        </is>
      </c>
      <c r="H39" t="inlineStr"/>
      <c r="I39" t="inlineStr"/>
      <c r="J39" s="6" t="inlineStr">
        <is>
          <t>Verified (1B final run)</t>
        </is>
      </c>
      <c r="K39" t="inlineStr"/>
    </row>
    <row r="40">
      <c r="A40" t="inlineStr">
        <is>
          <t>value</t>
        </is>
      </c>
      <c r="B40" t="inlineStr">
        <is>
          <t>vs Snake paper</t>
        </is>
      </c>
      <c r="C40" t="inlineStr">
        <is>
          <t>lud 512</t>
        </is>
      </c>
      <c r="D40" t="inlineStr">
        <is>
          <t>paper coverage (Fig. 16)</t>
        </is>
      </c>
      <c r="E40" s="14" t="n">
        <v>91</v>
      </c>
      <c r="F40" t="inlineStr">
        <is>
          <t>docs/snake/SPEC.md §5 (Fig. 16, read off the bar chart, ±3 pp)</t>
        </is>
      </c>
      <c r="G40" t="inlineStr">
        <is>
          <t>paper value for lud</t>
        </is>
      </c>
      <c r="H40" t="inlineStr"/>
      <c r="I40">
        <f> 91.0 (final_tier1.md §3)</f>
        <v/>
      </c>
      <c r="J40" s="6" t="inlineStr">
        <is>
          <t>Verified (1B final run)</t>
        </is>
      </c>
      <c r="K40" t="inlineStr"/>
    </row>
    <row r="41">
      <c r="A41" t="inlineStr">
        <is>
          <t>value</t>
        </is>
      </c>
      <c r="B41" t="inlineStr">
        <is>
          <t>vs Snake paper</t>
        </is>
      </c>
      <c r="C41" t="inlineStr">
        <is>
          <t>lud 512</t>
        </is>
      </c>
      <c r="D41" t="inlineStr">
        <is>
          <t>our predicted coverage (coverage_pred)</t>
        </is>
      </c>
      <c r="E41" s="14" t="n">
        <v>82.19089508056641</v>
      </c>
      <c r="F41" t="inlineStr">
        <is>
          <t>sim_run_snake/runs/lud-rodinia-3.1/_i___data_512_dat/QV100-SASS-PAPER_V100-1B_INSN-SNAKE-SNAKE_FP1</t>
        </is>
      </c>
      <c r="G41" t="inlineStr">
        <is>
          <t>snake_demand_pred_matched / snake_demand_sector_accesses</t>
        </is>
      </c>
      <c r="H41" t="inlineStr">
        <is>
          <t>accelsim-commit-2c3a333_modified_0.0 gpgpu-sim_git-commit-3f635b67_modified_0.0</t>
        </is>
      </c>
      <c r="I41">
        <f> 82.2 (final_tier1.md §3)</f>
        <v/>
      </c>
      <c r="J41" s="6" t="inlineStr">
        <is>
          <t>Verified (1B final run)</t>
        </is>
      </c>
      <c r="K41" t="inlineStr"/>
    </row>
    <row r="42">
      <c r="A42" t="inlineStr">
        <is>
          <t>value</t>
        </is>
      </c>
      <c r="B42" t="inlineStr">
        <is>
          <t>vs Snake paper</t>
        </is>
      </c>
      <c r="C42" t="inlineStr">
        <is>
          <t>lud 512</t>
        </is>
      </c>
      <c r="D42" t="inlineStr">
        <is>
          <t>our delivered coverage (coverage_paper)</t>
        </is>
      </c>
      <c r="E42" s="14" t="n">
        <v>28.42607498168945</v>
      </c>
      <c r="F42" t="inlineStr">
        <is>
          <t>sim_run_snake/runs/lud-rodinia-3.1/_i___data_512_dat/QV100-SASS-PAPER_V100-1B_INSN-SNAKE-SNAKE_FP1</t>
        </is>
      </c>
      <c r="G42" t="inlineStr">
        <is>
          <t>(snake_pf_useful_timely + snake_pf_late) / snake_demand_sector_accesses</t>
        </is>
      </c>
      <c r="H42" t="inlineStr">
        <is>
          <t>accelsim-commit-2c3a333_modified_0.0 gpgpu-sim_git-commit-3f635b67_modified_0.0</t>
        </is>
      </c>
      <c r="I42">
        <f> 28.4 (final_tier1.md §3)</f>
        <v/>
      </c>
      <c r="J42" s="6" t="inlineStr">
        <is>
          <t>Verified (1B final run)</t>
        </is>
      </c>
      <c r="K42" t="inlineStr"/>
    </row>
    <row r="43">
      <c r="A43" t="inlineStr">
        <is>
          <t>value</t>
        </is>
      </c>
      <c r="B43" t="inlineStr">
        <is>
          <t>vs Snake paper</t>
        </is>
      </c>
      <c r="C43" t="inlineStr">
        <is>
          <t>lud 512</t>
        </is>
      </c>
      <c r="D43" t="inlineStr">
        <is>
          <t>paper accuracy, timely (Fig. 17)</t>
        </is>
      </c>
      <c r="E43" s="14" t="n">
        <v>82</v>
      </c>
      <c r="F43" t="inlineStr">
        <is>
          <t>docs/snake/SPEC.md §5 (Fig. 17, read off the bar chart, ±3 pp)</t>
        </is>
      </c>
      <c r="G43" t="inlineStr">
        <is>
          <t>paper value for lud</t>
        </is>
      </c>
      <c r="H43" t="inlineStr"/>
      <c r="I43">
        <f> 82.0 (final_tier1.md §3)</f>
        <v/>
      </c>
      <c r="J43" s="6" t="inlineStr">
        <is>
          <t>Verified (1B final run)</t>
        </is>
      </c>
      <c r="K43" t="inlineStr"/>
    </row>
    <row r="44">
      <c r="A44" t="inlineStr">
        <is>
          <t>value</t>
        </is>
      </c>
      <c r="B44" t="inlineStr">
        <is>
          <t>vs Snake paper</t>
        </is>
      </c>
      <c r="C44" t="inlineStr">
        <is>
          <t>lud 512</t>
        </is>
      </c>
      <c r="D44" t="inlineStr">
        <is>
          <t>our timely accuracy (accuracy_paper)</t>
        </is>
      </c>
      <c r="E44" s="14" t="n">
        <v>2.681446075439453</v>
      </c>
      <c r="F44" t="inlineStr">
        <is>
          <t>sim_run_snake/runs/lud-rodinia-3.1/_i___data_512_dat/QV100-SASS-PAPER_V100-1B_INSN-SNAKE-SNAKE_FP1</t>
        </is>
      </c>
      <c r="G44" t="inlineStr">
        <is>
          <t>snake_pf_useful_timely / snake_demand_sector_accesses</t>
        </is>
      </c>
      <c r="H44" t="inlineStr">
        <is>
          <t>accelsim-commit-2c3a333_modified_0.0 gpgpu-sim_git-commit-3f635b67_modified_0.0</t>
        </is>
      </c>
      <c r="I44">
        <f> 2.7 (final_tier1.md §3)</f>
        <v/>
      </c>
      <c r="J44" s="6" t="inlineStr">
        <is>
          <t>Verified (1B final run)</t>
        </is>
      </c>
      <c r="K44" t="inlineStr"/>
    </row>
    <row r="45">
      <c r="A45" t="inlineStr">
        <is>
          <t>value</t>
        </is>
      </c>
      <c r="B45" t="inlineStr">
        <is>
          <t>vs Snake paper</t>
        </is>
      </c>
      <c r="C45" t="inlineStr">
        <is>
          <t>lud 512</t>
        </is>
      </c>
      <c r="D45" t="inlineStr">
        <is>
          <t>paper IPC gain (Fig. 18)</t>
        </is>
      </c>
      <c r="E45" s="14" t="n">
        <v>18</v>
      </c>
      <c r="F45" t="inlineStr">
        <is>
          <t>docs/snake/SPEC.md §5 (Fig. 18, read off the bar chart, ±3 pp)</t>
        </is>
      </c>
      <c r="G45" t="inlineStr">
        <is>
          <t>paper value for lud</t>
        </is>
      </c>
      <c r="H45" t="inlineStr"/>
      <c r="I45">
        <f> 18.0 (final_tier1.md §3); = 18.0 (D1_ceilings.md §5 PAPER_V100)</f>
        <v/>
      </c>
      <c r="J45" s="6" t="inlineStr">
        <is>
          <t>Verified (1B final run)</t>
        </is>
      </c>
      <c r="K45" t="inlineStr"/>
    </row>
    <row r="46">
      <c r="A46" t="inlineStr">
        <is>
          <t>value</t>
        </is>
      </c>
      <c r="B46" t="inlineStr">
        <is>
          <t>vs Snake paper</t>
        </is>
      </c>
      <c r="C46" t="inlineStr">
        <is>
          <t>lud 512</t>
        </is>
      </c>
      <c r="D46" t="inlineStr">
        <is>
          <t>our IPC gain</t>
        </is>
      </c>
      <c r="E46" s="14" t="n">
        <v>0.1230803074257825</v>
      </c>
      <c r="F46" t="inlineStr">
        <is>
          <t>sim_run_snake/runs/lud-rodinia-3.1/_i___data_512_dat/QV100-SASS-PAPER_V100-1B_INSN-SNAKE-SNAKE_FP1; sim_run_baseline/runs/lud-rodinia-3.1/_i___data_512_dat/QV100-SASS-PAPER_V100-1B_INSN</t>
        </is>
      </c>
      <c r="G46" t="inlineStr">
        <is>
          <t>gpu_tot_ipc Snake / gpu_tot_ipc baseline - 1</t>
        </is>
      </c>
      <c r="H46" t="inlineStr">
        <is>
          <t>accelsim-commit-2c3a333_modified_0.0 gpgpu-sim_git-commit-3f635b67_modified_0.0</t>
        </is>
      </c>
      <c r="I46">
        <f> 0.1 (final_tier1.md §3); = 0.1 (D1_ceilings.md §5 PAPER_V100); = 181.8325 (final_tier1.csv ipc (QV100-SASS-PAPER_V100-1B_INSN)); = 182.0563 (final_tier1.csv ipc (QV100-SASS-PAPER_V100-1B_INSN-SNAKE-SNAKE_FP1))</f>
        <v/>
      </c>
      <c r="J46" s="6" t="inlineStr">
        <is>
          <t>Verified (1B final run)</t>
        </is>
      </c>
      <c r="K46" t="inlineStr"/>
    </row>
    <row r="47">
      <c r="A47" t="inlineStr">
        <is>
          <t>value</t>
        </is>
      </c>
      <c r="B47" t="inlineStr">
        <is>
          <t>vs Snake paper</t>
        </is>
      </c>
      <c r="C47" t="inlineStr">
        <is>
          <t>lud 512</t>
        </is>
      </c>
      <c r="D47" t="inlineStr">
        <is>
          <t>perfect-L1 ceiling</t>
        </is>
      </c>
      <c r="E47" s="14" t="n">
        <v>3.614425364002583</v>
      </c>
      <c r="F47" t="inlineStr">
        <is>
          <t>sim_run_snake_gate/D1_pl1d/runs/lud-rodinia-3.1/_i___data_512_dat/QV100-SASS-PAPER_V100-1B_INSN-PERFECT_L1D; sim_run_baseline/runs/lud-rodinia-3.1/_i___data_512_dat/QV100-SASS-PAPER_V100-1B_INSN</t>
        </is>
      </c>
      <c r="G47" t="inlineStr">
        <is>
          <t>gpu_tot_ipc perfect L1D / gpu_tot_ipc baseline - 1</t>
        </is>
      </c>
      <c r="H47" t="inlineStr">
        <is>
          <t>accelsim-commit-2c3a333_modified_0.0 accelsim-commit-ac28769_modified_0.0 gpgpu-sim_git-commit-3f635b67_modified_0.0 gpgpu-sim_git-commit-7ed7810e_modified_0.0</t>
        </is>
      </c>
      <c r="I47">
        <f> 3.6 (D1_ceilings.md §5 PAPER_V100)</f>
        <v/>
      </c>
      <c r="J47" s="6" t="inlineStr">
        <is>
          <t>Verified (1B final run)</t>
        </is>
      </c>
      <c r="K47" t="inlineStr"/>
    </row>
    <row r="48">
      <c r="A48" t="inlineStr">
        <is>
          <t>value</t>
        </is>
      </c>
      <c r="B48" t="inlineStr">
        <is>
          <t>vs Snake paper</t>
        </is>
      </c>
      <c r="C48" t="inlineStr">
        <is>
          <t>lud 512</t>
        </is>
      </c>
      <c r="D48" t="inlineStr">
        <is>
          <t>L1 hit baseline</t>
        </is>
      </c>
      <c r="E48" s="14" t="n">
        <v>4.224014282226562</v>
      </c>
      <c r="F48" t="inlineStr">
        <is>
          <t>sim_run_baseline/runs/lud-rodinia-3.1/_i___data_512_dat/QV100-SASS-PAPER_V100-1B_INSN</t>
        </is>
      </c>
      <c r="G48" t="inlineStr">
        <is>
          <t>GLOBAL_ACC_R HIT / TOTAL_ACCESS (baseline)</t>
        </is>
      </c>
      <c r="H48" t="inlineStr">
        <is>
          <t>accelsim-commit-2c3a333_modified_0.0 gpgpu-sim_git-commit-3f635b67_modified_0.0</t>
        </is>
      </c>
      <c r="I48">
        <f> 4.2 (final_tier1.md §3); = 4.2240142822265625 (final_tier1.csv l1_hit_rate)</f>
        <v/>
      </c>
      <c r="J48" s="6" t="inlineStr">
        <is>
          <t>Verified (1B final run)</t>
        </is>
      </c>
      <c r="K48" t="inlineStr"/>
    </row>
    <row r="49">
      <c r="A49" t="inlineStr">
        <is>
          <t>value</t>
        </is>
      </c>
      <c r="B49" t="inlineStr">
        <is>
          <t>vs Snake paper</t>
        </is>
      </c>
      <c r="C49" t="inlineStr">
        <is>
          <t>lud 512</t>
        </is>
      </c>
      <c r="D49" t="inlineStr">
        <is>
          <t>L1 hit Snake</t>
        </is>
      </c>
      <c r="E49" s="14" t="n">
        <v>6.766128540039062</v>
      </c>
      <c r="F49" t="inlineStr">
        <is>
          <t>sim_run_snake/runs/lud-rodinia-3.1/_i___data_512_dat/QV100-SASS-PAPER_V100-1B_INSN-SNAKE-SNAKE_FP1</t>
        </is>
      </c>
      <c r="G49" t="inlineStr">
        <is>
          <t>GLOBAL_ACC_R HIT / TOTAL_ACCESS (Snake)</t>
        </is>
      </c>
      <c r="H49" t="inlineStr">
        <is>
          <t>accelsim-commit-2c3a333_modified_0.0 gpgpu-sim_git-commit-3f635b67_modified_0.0</t>
        </is>
      </c>
      <c r="I49">
        <f> 6.8 (final_tier1.md §3); = 6.7661285400390625 (final_tier1.csv l1_hit_rate)</f>
        <v/>
      </c>
      <c r="J49" s="6" t="inlineStr">
        <is>
          <t>Verified (1B final run)</t>
        </is>
      </c>
      <c r="K49" t="inlineStr"/>
    </row>
    <row r="50">
      <c r="A50" t="inlineStr">
        <is>
          <t>value</t>
        </is>
      </c>
      <c r="B50" t="inlineStr">
        <is>
          <t>vs Snake paper</t>
        </is>
      </c>
      <c r="C50" t="inlineStr">
        <is>
          <t>lud 512</t>
        </is>
      </c>
      <c r="D50" t="inlineStr">
        <is>
          <t>paper L1 hit baseline (Fig. 25 avg)</t>
        </is>
      </c>
      <c r="E50" t="inlineStr">
        <is>
          <t>n/a</t>
        </is>
      </c>
      <c r="F50" t="inlineStr">
        <is>
          <t>docs/snake/SPEC.md §5</t>
        </is>
      </c>
      <c r="G50" t="inlineStr">
        <is>
          <t>Fig. 25 gives the 11-app average only</t>
        </is>
      </c>
      <c r="H50" t="inlineStr"/>
      <c r="I50" t="inlineStr"/>
      <c r="J50" s="6" t="inlineStr">
        <is>
          <t>Verified (1B final run)</t>
        </is>
      </c>
      <c r="K50" t="inlineStr"/>
    </row>
    <row r="51">
      <c r="A51" t="inlineStr">
        <is>
          <t>value</t>
        </is>
      </c>
      <c r="B51" t="inlineStr">
        <is>
          <t>vs Snake paper</t>
        </is>
      </c>
      <c r="C51" t="inlineStr">
        <is>
          <t>lud 512</t>
        </is>
      </c>
      <c r="D51" t="inlineStr">
        <is>
          <t>paper L1 hit Snake (Fig. 25 avg)</t>
        </is>
      </c>
      <c r="E51" t="inlineStr">
        <is>
          <t>n/a</t>
        </is>
      </c>
      <c r="F51" t="inlineStr">
        <is>
          <t>docs/snake/SPEC.md §5</t>
        </is>
      </c>
      <c r="G51" t="inlineStr">
        <is>
          <t>Fig. 25 gives the 11-app average only</t>
        </is>
      </c>
      <c r="H51" t="inlineStr"/>
      <c r="I51" t="inlineStr"/>
      <c r="J51" s="6" t="inlineStr">
        <is>
          <t>Verified (1B final run)</t>
        </is>
      </c>
      <c r="K51" t="inlineStr"/>
    </row>
    <row r="52">
      <c r="A52" t="inlineStr">
        <is>
          <t>value</t>
        </is>
      </c>
      <c r="B52" t="inlineStr">
        <is>
          <t>vs Snake paper</t>
        </is>
      </c>
      <c r="C52" t="inlineStr">
        <is>
          <t>lud 256</t>
        </is>
      </c>
      <c r="D52" t="inlineStr">
        <is>
          <t>paper coverage (Fig. 16)</t>
        </is>
      </c>
      <c r="E52" s="14" t="n">
        <v>91</v>
      </c>
      <c r="F52" t="inlineStr">
        <is>
          <t>docs/snake/SPEC.md §5 (Fig. 16, read off the bar chart, ±3 pp)</t>
        </is>
      </c>
      <c r="G52" t="inlineStr">
        <is>
          <t>paper value for lud</t>
        </is>
      </c>
      <c r="H52" t="inlineStr"/>
      <c r="I52">
        <f> 91.0 (final_tier1.md §3)</f>
        <v/>
      </c>
      <c r="J52" s="6" t="inlineStr">
        <is>
          <t>Verified (1B final run)</t>
        </is>
      </c>
      <c r="K52" t="inlineStr"/>
    </row>
    <row r="53">
      <c r="A53" t="inlineStr">
        <is>
          <t>value</t>
        </is>
      </c>
      <c r="B53" t="inlineStr">
        <is>
          <t>vs Snake paper</t>
        </is>
      </c>
      <c r="C53" t="inlineStr">
        <is>
          <t>lud 256</t>
        </is>
      </c>
      <c r="D53" t="inlineStr">
        <is>
          <t>our predicted coverage (coverage_pred)</t>
        </is>
      </c>
      <c r="E53" s="14" t="n">
        <v>74.90158081054688</v>
      </c>
      <c r="F53" t="inlineStr">
        <is>
          <t>sim_run_snake/runs/lud-rodinia-3.1/_s_256__v/QV100-SASS-PAPER_V100-1B_INSN-SNAKE-SNAKE_FP1</t>
        </is>
      </c>
      <c r="G53" t="inlineStr">
        <is>
          <t>snake_demand_pred_matched / snake_demand_sector_accesses</t>
        </is>
      </c>
      <c r="H53" t="inlineStr">
        <is>
          <t>accelsim-commit-2c3a333_modified_0.0 gpgpu-sim_git-commit-3f635b67_modified_0.0</t>
        </is>
      </c>
      <c r="I53">
        <f> 74.9 (final_tier1.md §3)</f>
        <v/>
      </c>
      <c r="J53" s="6" t="inlineStr">
        <is>
          <t>Verified (1B final run)</t>
        </is>
      </c>
      <c r="K53" t="inlineStr"/>
    </row>
    <row r="54">
      <c r="A54" t="inlineStr">
        <is>
          <t>value</t>
        </is>
      </c>
      <c r="B54" t="inlineStr">
        <is>
          <t>vs Snake paper</t>
        </is>
      </c>
      <c r="C54" t="inlineStr">
        <is>
          <t>lud 256</t>
        </is>
      </c>
      <c r="D54" t="inlineStr">
        <is>
          <t>our delivered coverage (coverage_paper)</t>
        </is>
      </c>
      <c r="E54" s="14" t="n">
        <v>33.40988159179688</v>
      </c>
      <c r="F54" t="inlineStr">
        <is>
          <t>sim_run_snake/runs/lud-rodinia-3.1/_s_256__v/QV100-SASS-PAPER_V100-1B_INSN-SNAKE-SNAKE_FP1</t>
        </is>
      </c>
      <c r="G54" t="inlineStr">
        <is>
          <t>(snake_pf_useful_timely + snake_pf_late) / snake_demand_sector_accesses</t>
        </is>
      </c>
      <c r="H54" t="inlineStr">
        <is>
          <t>accelsim-commit-2c3a333_modified_0.0 gpgpu-sim_git-commit-3f635b67_modified_0.0</t>
        </is>
      </c>
      <c r="I54">
        <f> 33.4 (final_tier1.md §3)</f>
        <v/>
      </c>
      <c r="J54" s="6" t="inlineStr">
        <is>
          <t>Verified (1B final run)</t>
        </is>
      </c>
      <c r="K54" t="inlineStr"/>
    </row>
    <row r="55">
      <c r="A55" t="inlineStr">
        <is>
          <t>value</t>
        </is>
      </c>
      <c r="B55" t="inlineStr">
        <is>
          <t>vs Snake paper</t>
        </is>
      </c>
      <c r="C55" t="inlineStr">
        <is>
          <t>lud 256</t>
        </is>
      </c>
      <c r="D55" t="inlineStr">
        <is>
          <t>paper accuracy, timely (Fig. 17)</t>
        </is>
      </c>
      <c r="E55" s="14" t="n">
        <v>82</v>
      </c>
      <c r="F55" t="inlineStr">
        <is>
          <t>docs/snake/SPEC.md §5 (Fig. 17, read off the bar chart, ±3 pp)</t>
        </is>
      </c>
      <c r="G55" t="inlineStr">
        <is>
          <t>paper value for lud</t>
        </is>
      </c>
      <c r="H55" t="inlineStr"/>
      <c r="I55">
        <f> 82.0 (final_tier1.md §3)</f>
        <v/>
      </c>
      <c r="J55" s="6" t="inlineStr">
        <is>
          <t>Verified (1B final run)</t>
        </is>
      </c>
      <c r="K55" t="inlineStr"/>
    </row>
    <row r="56">
      <c r="A56" t="inlineStr">
        <is>
          <t>value</t>
        </is>
      </c>
      <c r="B56" t="inlineStr">
        <is>
          <t>vs Snake paper</t>
        </is>
      </c>
      <c r="C56" t="inlineStr">
        <is>
          <t>lud 256</t>
        </is>
      </c>
      <c r="D56" t="inlineStr">
        <is>
          <t>our timely accuracy (accuracy_paper)</t>
        </is>
      </c>
      <c r="E56" s="14" t="n">
        <v>0.705718994140625</v>
      </c>
      <c r="F56" t="inlineStr">
        <is>
          <t>sim_run_snake/runs/lud-rodinia-3.1/_s_256__v/QV100-SASS-PAPER_V100-1B_INSN-SNAKE-SNAKE_FP1</t>
        </is>
      </c>
      <c r="G56" t="inlineStr">
        <is>
          <t>snake_pf_useful_timely / snake_demand_sector_accesses</t>
        </is>
      </c>
      <c r="H56" t="inlineStr">
        <is>
          <t>accelsim-commit-2c3a333_modified_0.0 gpgpu-sim_git-commit-3f635b67_modified_0.0</t>
        </is>
      </c>
      <c r="I56">
        <f> 0.7 (final_tier1.md §3)</f>
        <v/>
      </c>
      <c r="J56" s="6" t="inlineStr">
        <is>
          <t>Verified (1B final run)</t>
        </is>
      </c>
      <c r="K56" t="inlineStr"/>
    </row>
    <row r="57">
      <c r="A57" t="inlineStr">
        <is>
          <t>value</t>
        </is>
      </c>
      <c r="B57" t="inlineStr">
        <is>
          <t>vs Snake paper</t>
        </is>
      </c>
      <c r="C57" t="inlineStr">
        <is>
          <t>lud 256</t>
        </is>
      </c>
      <c r="D57" t="inlineStr">
        <is>
          <t>paper IPC gain (Fig. 18)</t>
        </is>
      </c>
      <c r="E57" s="14" t="n">
        <v>18</v>
      </c>
      <c r="F57" t="inlineStr">
        <is>
          <t>docs/snake/SPEC.md §5 (Fig. 18, read off the bar chart, ±3 pp)</t>
        </is>
      </c>
      <c r="G57" t="inlineStr">
        <is>
          <t>paper value for lud</t>
        </is>
      </c>
      <c r="H57" t="inlineStr"/>
      <c r="I57">
        <f> 18.0 (final_tier1.md §3); = 18.0 (D1_ceilings.md §5 PAPER_V100)</f>
        <v/>
      </c>
      <c r="J57" s="6" t="inlineStr">
        <is>
          <t>Verified (1B final run)</t>
        </is>
      </c>
      <c r="K57" t="inlineStr"/>
    </row>
    <row r="58">
      <c r="A58" t="inlineStr">
        <is>
          <t>value</t>
        </is>
      </c>
      <c r="B58" t="inlineStr">
        <is>
          <t>vs Snake paper</t>
        </is>
      </c>
      <c r="C58" t="inlineStr">
        <is>
          <t>lud 256</t>
        </is>
      </c>
      <c r="D58" t="inlineStr">
        <is>
          <t>our IPC gain</t>
        </is>
      </c>
      <c r="E58" s="14" t="n">
        <v>0.07922594565437091</v>
      </c>
      <c r="F58" t="inlineStr">
        <is>
          <t>sim_run_snake/runs/lud-rodinia-3.1/_s_256__v/QV100-SASS-PAPER_V100-1B_INSN-SNAKE-SNAKE_FP1; sim_run_baseline/runs/lud-rodinia-3.1/_s_256__v/QV100-SASS-PAPER_V100-1B_INSN</t>
        </is>
      </c>
      <c r="G58" t="inlineStr">
        <is>
          <t>gpu_tot_ipc Snake / gpu_tot_ipc baseline - 1</t>
        </is>
      </c>
      <c r="H58" t="inlineStr">
        <is>
          <t>accelsim-commit-2c3a333_modified_0.0 gpgpu-sim_git-commit-3f635b67_modified_0.0</t>
        </is>
      </c>
      <c r="I58">
        <f> 0.1 (final_tier1.md §3); = 0.1 (D1_ceilings.md §5 PAPER_V100); = 47.4592 (final_tier1.csv ipc (QV100-SASS-PAPER_V100-1B_INSN)); = 47.4968 (final_tier1.csv ipc (QV100-SASS-PAPER_V100-1B_INSN-SNAKE-SNAKE_FP1))</f>
        <v/>
      </c>
      <c r="J58" s="6" t="inlineStr">
        <is>
          <t>Verified (1B final run)</t>
        </is>
      </c>
      <c r="K58" t="inlineStr"/>
    </row>
    <row r="59">
      <c r="A59" t="inlineStr">
        <is>
          <t>value</t>
        </is>
      </c>
      <c r="B59" t="inlineStr">
        <is>
          <t>vs Snake paper</t>
        </is>
      </c>
      <c r="C59" t="inlineStr">
        <is>
          <t>lud 256</t>
        </is>
      </c>
      <c r="D59" t="inlineStr">
        <is>
          <t>perfect-L1 ceiling</t>
        </is>
      </c>
      <c r="E59" s="14" t="n">
        <v>2.988883082732108</v>
      </c>
      <c r="F59" t="inlineStr">
        <is>
          <t>sim_run_snake_gate/D1_pl1d/runs/lud-rodinia-3.1/_s_256__v/QV100-SASS-PAPER_V100-1B_INSN-PERFECT_L1D; sim_run_baseline/runs/lud-rodinia-3.1/_s_256__v/QV100-SASS-PAPER_V100-1B_INSN</t>
        </is>
      </c>
      <c r="G59" t="inlineStr">
        <is>
          <t>gpu_tot_ipc perfect L1D / gpu_tot_ipc baseline - 1</t>
        </is>
      </c>
      <c r="H59" t="inlineStr">
        <is>
          <t>accelsim-commit-2c3a333_modified_0.0 accelsim-commit-ac28769_modified_0.0 gpgpu-sim_git-commit-3f635b67_modified_0.0 gpgpu-sim_git-commit-7ed7810e_modified_0.0</t>
        </is>
      </c>
      <c r="I59">
        <f> 3.0 (D1_ceilings.md §5 PAPER_V100)</f>
        <v/>
      </c>
      <c r="J59" s="6" t="inlineStr">
        <is>
          <t>Verified (1B final run)</t>
        </is>
      </c>
      <c r="K59" t="inlineStr"/>
    </row>
    <row r="60">
      <c r="A60" t="inlineStr">
        <is>
          <t>value</t>
        </is>
      </c>
      <c r="B60" t="inlineStr">
        <is>
          <t>vs Snake paper</t>
        </is>
      </c>
      <c r="C60" t="inlineStr">
        <is>
          <t>lud 256</t>
        </is>
      </c>
      <c r="D60" t="inlineStr">
        <is>
          <t>L1 hit baseline</t>
        </is>
      </c>
      <c r="E60" s="14" t="n">
        <v>0</v>
      </c>
      <c r="F60" t="inlineStr">
        <is>
          <t>sim_run_baseline/runs/lud-rodinia-3.1/_s_256__v/QV100-SASS-PAPER_V100-1B_INSN</t>
        </is>
      </c>
      <c r="G60" t="inlineStr">
        <is>
          <t>GLOBAL_ACC_R HIT / TOTAL_ACCESS (baseline)</t>
        </is>
      </c>
      <c r="H60" t="inlineStr">
        <is>
          <t>accelsim-commit-2c3a333_modified_0.0 gpgpu-sim_git-commit-3f635b67_modified_0.0</t>
        </is>
      </c>
      <c r="I60">
        <f> 0.0 (final_tier1.md §3); = 0.0 (final_tier1.csv l1_hit_rate)</f>
        <v/>
      </c>
      <c r="J60" s="6" t="inlineStr">
        <is>
          <t>Verified (1B final run)</t>
        </is>
      </c>
      <c r="K60" t="inlineStr"/>
    </row>
    <row r="61">
      <c r="A61" t="inlineStr">
        <is>
          <t>value</t>
        </is>
      </c>
      <c r="B61" t="inlineStr">
        <is>
          <t>vs Snake paper</t>
        </is>
      </c>
      <c r="C61" t="inlineStr">
        <is>
          <t>lud 256</t>
        </is>
      </c>
      <c r="D61" t="inlineStr">
        <is>
          <t>L1 hit Snake</t>
        </is>
      </c>
      <c r="E61" s="14" t="n">
        <v>0.705718994140625</v>
      </c>
      <c r="F61" t="inlineStr">
        <is>
          <t>sim_run_snake/runs/lud-rodinia-3.1/_s_256__v/QV100-SASS-PAPER_V100-1B_INSN-SNAKE-SNAKE_FP1</t>
        </is>
      </c>
      <c r="G61" t="inlineStr">
        <is>
          <t>GLOBAL_ACC_R HIT / TOTAL_ACCESS (Snake)</t>
        </is>
      </c>
      <c r="H61" t="inlineStr">
        <is>
          <t>accelsim-commit-2c3a333_modified_0.0 gpgpu-sim_git-commit-3f635b67_modified_0.0</t>
        </is>
      </c>
      <c r="I61">
        <f> 0.7 (final_tier1.md §3); = 0.705718994140625 (final_tier1.csv l1_hit_rate)</f>
        <v/>
      </c>
      <c r="J61" s="6" t="inlineStr">
        <is>
          <t>Verified (1B final run)</t>
        </is>
      </c>
      <c r="K61" t="inlineStr"/>
    </row>
    <row r="62">
      <c r="A62" t="inlineStr">
        <is>
          <t>value</t>
        </is>
      </c>
      <c r="B62" t="inlineStr">
        <is>
          <t>vs Snake paper</t>
        </is>
      </c>
      <c r="C62" t="inlineStr">
        <is>
          <t>lud 256</t>
        </is>
      </c>
      <c r="D62" t="inlineStr">
        <is>
          <t>paper L1 hit baseline (Fig. 25 avg)</t>
        </is>
      </c>
      <c r="E62" t="inlineStr">
        <is>
          <t>n/a</t>
        </is>
      </c>
      <c r="F62" t="inlineStr">
        <is>
          <t>docs/snake/SPEC.md §5</t>
        </is>
      </c>
      <c r="G62" t="inlineStr">
        <is>
          <t>Fig. 25 gives the 11-app average only</t>
        </is>
      </c>
      <c r="H62" t="inlineStr"/>
      <c r="I62" t="inlineStr"/>
      <c r="J62" s="6" t="inlineStr">
        <is>
          <t>Verified (1B final run)</t>
        </is>
      </c>
      <c r="K62" t="inlineStr"/>
    </row>
    <row r="63">
      <c r="A63" t="inlineStr">
        <is>
          <t>value</t>
        </is>
      </c>
      <c r="B63" t="inlineStr">
        <is>
          <t>vs Snake paper</t>
        </is>
      </c>
      <c r="C63" t="inlineStr">
        <is>
          <t>lud 256</t>
        </is>
      </c>
      <c r="D63" t="inlineStr">
        <is>
          <t>paper L1 hit Snake (Fig. 25 avg)</t>
        </is>
      </c>
      <c r="E63" t="inlineStr">
        <is>
          <t>n/a</t>
        </is>
      </c>
      <c r="F63" t="inlineStr">
        <is>
          <t>docs/snake/SPEC.md §5</t>
        </is>
      </c>
      <c r="G63" t="inlineStr">
        <is>
          <t>Fig. 25 gives the 11-app average only</t>
        </is>
      </c>
      <c r="H63" t="inlineStr"/>
      <c r="I63" t="inlineStr"/>
      <c r="J63" s="6" t="inlineStr">
        <is>
          <t>Verified (1B final run)</t>
        </is>
      </c>
      <c r="K63" t="inlineStr"/>
    </row>
    <row r="64">
      <c r="A64" t="inlineStr">
        <is>
          <t>value</t>
        </is>
      </c>
      <c r="B64" t="inlineStr">
        <is>
          <t>vs Snake paper</t>
        </is>
      </c>
      <c r="C64" t="inlineStr">
        <is>
          <t>nw</t>
        </is>
      </c>
      <c r="D64" t="inlineStr">
        <is>
          <t>paper coverage (Fig. 16)</t>
        </is>
      </c>
      <c r="E64" s="14" t="n">
        <v>12</v>
      </c>
      <c r="F64" t="inlineStr">
        <is>
          <t>docs/snake/SPEC.md §5 (Fig. 16, read off the bar chart, ±3 pp)</t>
        </is>
      </c>
      <c r="G64" t="inlineStr">
        <is>
          <t>paper value for nw</t>
        </is>
      </c>
      <c r="H64" t="inlineStr"/>
      <c r="I64">
        <f> 12.0 (final_tier1.md §3)</f>
        <v/>
      </c>
      <c r="J64" s="6" t="inlineStr">
        <is>
          <t>Verified (1B final run)</t>
        </is>
      </c>
      <c r="K64" t="inlineStr"/>
    </row>
    <row r="65">
      <c r="A65" t="inlineStr">
        <is>
          <t>value</t>
        </is>
      </c>
      <c r="B65" t="inlineStr">
        <is>
          <t>vs Snake paper</t>
        </is>
      </c>
      <c r="C65" t="inlineStr">
        <is>
          <t>nw</t>
        </is>
      </c>
      <c r="D65" t="inlineStr">
        <is>
          <t>our predicted coverage (coverage_pred)</t>
        </is>
      </c>
      <c r="E65" s="14" t="n">
        <v>0</v>
      </c>
      <c r="F65" t="inlineStr">
        <is>
          <t>sim_run_snake/runs/nw-rodinia-3.1/2048_10/QV100-SASS-PAPER_V100-1B_INSN-SNAKE-SNAKE_FP1</t>
        </is>
      </c>
      <c r="G65" t="inlineStr">
        <is>
          <t>snake_demand_pred_matched / snake_demand_sector_accesses</t>
        </is>
      </c>
      <c r="H65" t="inlineStr">
        <is>
          <t>accelsim-commit-2c3a333_modified_0.0 gpgpu-sim_git-commit-3f635b67_modified_0.0</t>
        </is>
      </c>
      <c r="I65">
        <f> 0.0 (final_tier1.md §3)</f>
        <v/>
      </c>
      <c r="J65" s="6" t="inlineStr">
        <is>
          <t>Verified (1B final run)</t>
        </is>
      </c>
      <c r="K65" t="inlineStr"/>
    </row>
    <row r="66">
      <c r="A66" t="inlineStr">
        <is>
          <t>value</t>
        </is>
      </c>
      <c r="B66" t="inlineStr">
        <is>
          <t>vs Snake paper</t>
        </is>
      </c>
      <c r="C66" t="inlineStr">
        <is>
          <t>nw</t>
        </is>
      </c>
      <c r="D66" t="inlineStr">
        <is>
          <t>our delivered coverage (coverage_paper)</t>
        </is>
      </c>
      <c r="E66" s="14" t="n">
        <v>0</v>
      </c>
      <c r="F66" t="inlineStr">
        <is>
          <t>sim_run_snake/runs/nw-rodinia-3.1/2048_10/QV100-SASS-PAPER_V100-1B_INSN-SNAKE-SNAKE_FP1</t>
        </is>
      </c>
      <c r="G66" t="inlineStr">
        <is>
          <t>(snake_pf_useful_timely + snake_pf_late) / snake_demand_sector_accesses</t>
        </is>
      </c>
      <c r="H66" t="inlineStr">
        <is>
          <t>accelsim-commit-2c3a333_modified_0.0 gpgpu-sim_git-commit-3f635b67_modified_0.0</t>
        </is>
      </c>
      <c r="I66">
        <f> 0.0 (final_tier1.md §3)</f>
        <v/>
      </c>
      <c r="J66" s="6" t="inlineStr">
        <is>
          <t>Verified (1B final run)</t>
        </is>
      </c>
      <c r="K66" t="inlineStr"/>
    </row>
    <row r="67">
      <c r="A67" t="inlineStr">
        <is>
          <t>value</t>
        </is>
      </c>
      <c r="B67" t="inlineStr">
        <is>
          <t>vs Snake paper</t>
        </is>
      </c>
      <c r="C67" t="inlineStr">
        <is>
          <t>nw</t>
        </is>
      </c>
      <c r="D67" t="inlineStr">
        <is>
          <t>paper accuracy, timely (Fig. 17)</t>
        </is>
      </c>
      <c r="E67" s="14" t="n">
        <v>10</v>
      </c>
      <c r="F67" t="inlineStr">
        <is>
          <t>docs/snake/SPEC.md §5 (Fig. 17, read off the bar chart, ±3 pp)</t>
        </is>
      </c>
      <c r="G67" t="inlineStr">
        <is>
          <t>paper value for nw</t>
        </is>
      </c>
      <c r="H67" t="inlineStr"/>
      <c r="I67">
        <f> 10.0 (final_tier1.md §3)</f>
        <v/>
      </c>
      <c r="J67" s="6" t="inlineStr">
        <is>
          <t>Verified (1B final run)</t>
        </is>
      </c>
      <c r="K67" t="inlineStr"/>
    </row>
    <row r="68">
      <c r="A68" t="inlineStr">
        <is>
          <t>value</t>
        </is>
      </c>
      <c r="B68" t="inlineStr">
        <is>
          <t>vs Snake paper</t>
        </is>
      </c>
      <c r="C68" t="inlineStr">
        <is>
          <t>nw</t>
        </is>
      </c>
      <c r="D68" t="inlineStr">
        <is>
          <t>our timely accuracy (accuracy_paper)</t>
        </is>
      </c>
      <c r="E68" s="14" t="n">
        <v>0</v>
      </c>
      <c r="F68" t="inlineStr">
        <is>
          <t>sim_run_snake/runs/nw-rodinia-3.1/2048_10/QV100-SASS-PAPER_V100-1B_INSN-SNAKE-SNAKE_FP1</t>
        </is>
      </c>
      <c r="G68" t="inlineStr">
        <is>
          <t>snake_pf_useful_timely / snake_demand_sector_accesses</t>
        </is>
      </c>
      <c r="H68" t="inlineStr">
        <is>
          <t>accelsim-commit-2c3a333_modified_0.0 gpgpu-sim_git-commit-3f635b67_modified_0.0</t>
        </is>
      </c>
      <c r="I68">
        <f> 0.0 (final_tier1.md §3)</f>
        <v/>
      </c>
      <c r="J68" s="6" t="inlineStr">
        <is>
          <t>Verified (1B final run)</t>
        </is>
      </c>
      <c r="K68" t="inlineStr"/>
    </row>
    <row r="69">
      <c r="A69" t="inlineStr">
        <is>
          <t>value</t>
        </is>
      </c>
      <c r="B69" t="inlineStr">
        <is>
          <t>vs Snake paper</t>
        </is>
      </c>
      <c r="C69" t="inlineStr">
        <is>
          <t>nw</t>
        </is>
      </c>
      <c r="D69" t="inlineStr">
        <is>
          <t>paper IPC gain (Fig. 18)</t>
        </is>
      </c>
      <c r="E69" s="14" t="n">
        <v>5</v>
      </c>
      <c r="F69" t="inlineStr">
        <is>
          <t>docs/snake/SPEC.md §5 (Fig. 18, read off the bar chart, ±3 pp)</t>
        </is>
      </c>
      <c r="G69" t="inlineStr">
        <is>
          <t>paper value for nw</t>
        </is>
      </c>
      <c r="H69" t="inlineStr"/>
      <c r="I69">
        <f> 5.0 (final_tier1.md §3); = 5.0 (D1_ceilings.md §5 PAPER_V100)</f>
        <v/>
      </c>
      <c r="J69" s="6" t="inlineStr">
        <is>
          <t>Verified (1B final run)</t>
        </is>
      </c>
      <c r="K69" t="inlineStr"/>
    </row>
    <row r="70">
      <c r="A70" t="inlineStr">
        <is>
          <t>value</t>
        </is>
      </c>
      <c r="B70" t="inlineStr">
        <is>
          <t>vs Snake paper</t>
        </is>
      </c>
      <c r="C70" t="inlineStr">
        <is>
          <t>nw</t>
        </is>
      </c>
      <c r="D70" t="inlineStr">
        <is>
          <t>our IPC gain</t>
        </is>
      </c>
      <c r="E70" s="14" t="n">
        <v>0</v>
      </c>
      <c r="F70" t="inlineStr">
        <is>
          <t>sim_run_snake/runs/nw-rodinia-3.1/2048_10/QV100-SASS-PAPER_V100-1B_INSN-SNAKE-SNAKE_FP1; sim_run_baseline/runs/nw-rodinia-3.1/2048_10/QV100-SASS-PAPER_V100-1B_INSN</t>
        </is>
      </c>
      <c r="G70" t="inlineStr">
        <is>
          <t>gpu_tot_ipc Snake / gpu_tot_ipc baseline - 1</t>
        </is>
      </c>
      <c r="H70" t="inlineStr">
        <is>
          <t>accelsim-commit-2c3a333_modified_0.0 gpgpu-sim_git-commit-3f635b67_modified_0.0</t>
        </is>
      </c>
      <c r="I70">
        <f> 0.0 (final_tier1.md §3); = 0.0 (D1_ceilings.md §5 PAPER_V100); = 58.4296 (final_tier1.csv ipc (QV100-SASS-PAPER_V100-1B_INSN)); = 58.4296 (final_tier1.csv ipc (QV100-SASS-PAPER_V100-1B_INSN-SNAKE-SNAKE_FP1))</f>
        <v/>
      </c>
      <c r="J70" s="6" t="inlineStr">
        <is>
          <t>Verified (1B final run)</t>
        </is>
      </c>
      <c r="K70" t="inlineStr"/>
    </row>
    <row r="71">
      <c r="A71" t="inlineStr">
        <is>
          <t>value</t>
        </is>
      </c>
      <c r="B71" t="inlineStr">
        <is>
          <t>vs Snake paper</t>
        </is>
      </c>
      <c r="C71" t="inlineStr">
        <is>
          <t>nw</t>
        </is>
      </c>
      <c r="D71" t="inlineStr">
        <is>
          <t>perfect-L1 ceiling</t>
        </is>
      </c>
      <c r="E71" s="14" t="n">
        <v>16.60562454646275</v>
      </c>
      <c r="F71" t="inlineStr">
        <is>
          <t>sim_run_snake_gate/D1_pl1d/runs/nw-rodinia-3.1/2048_10/QV100-SASS-PAPER_V100-1B_INSN-PERFECT_L1D; sim_run_baseline/runs/nw-rodinia-3.1/2048_10/QV100-SASS-PAPER_V100-1B_INSN</t>
        </is>
      </c>
      <c r="G71" t="inlineStr">
        <is>
          <t>gpu_tot_ipc perfect L1D / gpu_tot_ipc baseline - 1</t>
        </is>
      </c>
      <c r="H71" t="inlineStr">
        <is>
          <t>accelsim-commit-2c3a333_modified_0.0 accelsim-commit-ac28769_modified_0.0 gpgpu-sim_git-commit-3f635b67_modified_0.0 gpgpu-sim_git-commit-7ed7810e_modified_0.0</t>
        </is>
      </c>
      <c r="I71">
        <f> 16.6 (D1_ceilings.md §5 PAPER_V100)</f>
        <v/>
      </c>
      <c r="J71" s="6" t="inlineStr">
        <is>
          <t>Verified (1B final run)</t>
        </is>
      </c>
      <c r="K71" t="inlineStr"/>
    </row>
    <row r="72">
      <c r="A72" t="inlineStr">
        <is>
          <t>value</t>
        </is>
      </c>
      <c r="B72" t="inlineStr">
        <is>
          <t>vs Snake paper</t>
        </is>
      </c>
      <c r="C72" t="inlineStr">
        <is>
          <t>nw</t>
        </is>
      </c>
      <c r="D72" t="inlineStr">
        <is>
          <t>L1 hit baseline</t>
        </is>
      </c>
      <c r="E72" s="14" t="n">
        <v>1.515151515151515</v>
      </c>
      <c r="F72" t="inlineStr">
        <is>
          <t>sim_run_baseline/runs/nw-rodinia-3.1/2048_10/QV100-SASS-PAPER_V100-1B_INSN</t>
        </is>
      </c>
      <c r="G72" t="inlineStr">
        <is>
          <t>GLOBAL_ACC_R HIT / TOTAL_ACCESS (baseline)</t>
        </is>
      </c>
      <c r="H72" t="inlineStr">
        <is>
          <t>accelsim-commit-2c3a333_modified_0.0 gpgpu-sim_git-commit-3f635b67_modified_0.0</t>
        </is>
      </c>
      <c r="I72">
        <f> 1.5 (final_tier1.md §3); = 1.5151515151515151 (final_tier1.csv l1_hit_rate)</f>
        <v/>
      </c>
      <c r="J72" s="6" t="inlineStr">
        <is>
          <t>Verified (1B final run)</t>
        </is>
      </c>
      <c r="K72" t="inlineStr"/>
    </row>
    <row r="73">
      <c r="A73" t="inlineStr">
        <is>
          <t>value</t>
        </is>
      </c>
      <c r="B73" t="inlineStr">
        <is>
          <t>vs Snake paper</t>
        </is>
      </c>
      <c r="C73" t="inlineStr">
        <is>
          <t>nw</t>
        </is>
      </c>
      <c r="D73" t="inlineStr">
        <is>
          <t>L1 hit Snake</t>
        </is>
      </c>
      <c r="E73" s="14" t="n">
        <v>1.515151515151515</v>
      </c>
      <c r="F73" t="inlineStr">
        <is>
          <t>sim_run_snake/runs/nw-rodinia-3.1/2048_10/QV100-SASS-PAPER_V100-1B_INSN-SNAKE-SNAKE_FP1</t>
        </is>
      </c>
      <c r="G73" t="inlineStr">
        <is>
          <t>GLOBAL_ACC_R HIT / TOTAL_ACCESS (Snake)</t>
        </is>
      </c>
      <c r="H73" t="inlineStr">
        <is>
          <t>accelsim-commit-2c3a333_modified_0.0 gpgpu-sim_git-commit-3f635b67_modified_0.0</t>
        </is>
      </c>
      <c r="I73">
        <f> 1.5 (final_tier1.md §3); = 1.5151515151515151 (final_tier1.csv l1_hit_rate)</f>
        <v/>
      </c>
      <c r="J73" s="6" t="inlineStr">
        <is>
          <t>Verified (1B final run)</t>
        </is>
      </c>
      <c r="K73" t="inlineStr"/>
    </row>
    <row r="74">
      <c r="A74" t="inlineStr">
        <is>
          <t>value</t>
        </is>
      </c>
      <c r="B74" t="inlineStr">
        <is>
          <t>vs Snake paper</t>
        </is>
      </c>
      <c r="C74" t="inlineStr">
        <is>
          <t>nw</t>
        </is>
      </c>
      <c r="D74" t="inlineStr">
        <is>
          <t>paper L1 hit baseline (Fig. 25 avg)</t>
        </is>
      </c>
      <c r="E74" t="inlineStr">
        <is>
          <t>n/a</t>
        </is>
      </c>
      <c r="F74" t="inlineStr">
        <is>
          <t>docs/snake/SPEC.md §5</t>
        </is>
      </c>
      <c r="G74" t="inlineStr">
        <is>
          <t>Fig. 25 gives the 11-app average only</t>
        </is>
      </c>
      <c r="H74" t="inlineStr"/>
      <c r="I74" t="inlineStr"/>
      <c r="J74" s="6" t="inlineStr">
        <is>
          <t>Verified (1B final run)</t>
        </is>
      </c>
      <c r="K74" t="inlineStr"/>
    </row>
    <row r="75">
      <c r="A75" t="inlineStr">
        <is>
          <t>value</t>
        </is>
      </c>
      <c r="B75" t="inlineStr">
        <is>
          <t>vs Snake paper</t>
        </is>
      </c>
      <c r="C75" t="inlineStr">
        <is>
          <t>nw</t>
        </is>
      </c>
      <c r="D75" t="inlineStr">
        <is>
          <t>paper L1 hit Snake (Fig. 25 avg)</t>
        </is>
      </c>
      <c r="E75" t="inlineStr">
        <is>
          <t>n/a</t>
        </is>
      </c>
      <c r="F75" t="inlineStr">
        <is>
          <t>docs/snake/SPEC.md §5</t>
        </is>
      </c>
      <c r="G75" t="inlineStr">
        <is>
          <t>Fig. 25 gives the 11-app average only</t>
        </is>
      </c>
      <c r="H75" t="inlineStr"/>
      <c r="I75" t="inlineStr"/>
      <c r="J75" s="6" t="inlineStr">
        <is>
          <t>Verified (1B final run)</t>
        </is>
      </c>
      <c r="K75" t="inlineStr"/>
    </row>
    <row r="76">
      <c r="A76" t="inlineStr">
        <is>
          <t>value</t>
        </is>
      </c>
      <c r="B76" t="inlineStr">
        <is>
          <t>vs Snake paper</t>
        </is>
      </c>
      <c r="C76" t="inlineStr">
        <is>
          <t>histo</t>
        </is>
      </c>
      <c r="D76" t="inlineStr">
        <is>
          <t>paper coverage (Fig. 16)</t>
        </is>
      </c>
      <c r="E76" s="14" t="n">
        <v>97</v>
      </c>
      <c r="F76" t="inlineStr">
        <is>
          <t>docs/snake/SPEC.md §5 (Fig. 16, read off the bar chart, ±3 pp)</t>
        </is>
      </c>
      <c r="G76" t="inlineStr">
        <is>
          <t>paper value for histo</t>
        </is>
      </c>
      <c r="H76" t="inlineStr"/>
      <c r="I76">
        <f> 97.0 (final_tier1.md §3)</f>
        <v/>
      </c>
      <c r="J76" s="6" t="inlineStr">
        <is>
          <t>Verified (1B final run)</t>
        </is>
      </c>
      <c r="K76" t="inlineStr"/>
    </row>
    <row r="77">
      <c r="A77" t="inlineStr">
        <is>
          <t>value</t>
        </is>
      </c>
      <c r="B77" t="inlineStr">
        <is>
          <t>vs Snake paper</t>
        </is>
      </c>
      <c r="C77" t="inlineStr">
        <is>
          <t>histo</t>
        </is>
      </c>
      <c r="D77" t="inlineStr">
        <is>
          <t>our predicted coverage (coverage_pred)</t>
        </is>
      </c>
      <c r="E77" s="14" t="n">
        <v>34.44576395741412</v>
      </c>
      <c r="F77" t="inlineStr">
        <is>
          <t>sim_run_snake/runs/parboil-histo/_i___data_default_input_img_bin__o_ref_bmp____20_4/QV100-SASS-PAPER_V100-1B_INSN-SNAKE-SNAKE_FP1</t>
        </is>
      </c>
      <c r="G77" t="inlineStr">
        <is>
          <t>snake_demand_pred_matched / snake_demand_sector_accesses</t>
        </is>
      </c>
      <c r="H77" t="inlineStr">
        <is>
          <t>accelsim-commit-2c3a333_modified_0.0 gpgpu-sim_git-commit-3f635b67_modified_0.0</t>
        </is>
      </c>
      <c r="I77">
        <f> 34.4 (final_tier1.md §3)</f>
        <v/>
      </c>
      <c r="J77" s="6" t="inlineStr">
        <is>
          <t>Verified (1B final run)</t>
        </is>
      </c>
      <c r="K77" t="inlineStr"/>
    </row>
    <row r="78">
      <c r="A78" t="inlineStr">
        <is>
          <t>value</t>
        </is>
      </c>
      <c r="B78" t="inlineStr">
        <is>
          <t>vs Snake paper</t>
        </is>
      </c>
      <c r="C78" t="inlineStr">
        <is>
          <t>histo</t>
        </is>
      </c>
      <c r="D78" t="inlineStr">
        <is>
          <t>our delivered coverage (coverage_paper)</t>
        </is>
      </c>
      <c r="E78" s="14" t="n">
        <v>23.55738584348068</v>
      </c>
      <c r="F78" t="inlineStr">
        <is>
          <t>sim_run_snake/runs/parboil-histo/_i___data_default_input_img_bin__o_ref_bmp____20_4/QV100-SASS-PAPER_V100-1B_INSN-SNAKE-SNAKE_FP1</t>
        </is>
      </c>
      <c r="G78" t="inlineStr">
        <is>
          <t>(snake_pf_useful_timely + snake_pf_late) / snake_demand_sector_accesses</t>
        </is>
      </c>
      <c r="H78" t="inlineStr">
        <is>
          <t>accelsim-commit-2c3a333_modified_0.0 gpgpu-sim_git-commit-3f635b67_modified_0.0</t>
        </is>
      </c>
      <c r="I78">
        <f> 23.6 (final_tier1.md §3)</f>
        <v/>
      </c>
      <c r="J78" s="6" t="inlineStr">
        <is>
          <t>Verified (1B final run)</t>
        </is>
      </c>
      <c r="K78" t="inlineStr"/>
    </row>
    <row r="79">
      <c r="A79" t="inlineStr">
        <is>
          <t>value</t>
        </is>
      </c>
      <c r="B79" t="inlineStr">
        <is>
          <t>vs Snake paper</t>
        </is>
      </c>
      <c r="C79" t="inlineStr">
        <is>
          <t>histo</t>
        </is>
      </c>
      <c r="D79" t="inlineStr">
        <is>
          <t>paper accuracy, timely (Fig. 17)</t>
        </is>
      </c>
      <c r="E79" s="14" t="n">
        <v>96</v>
      </c>
      <c r="F79" t="inlineStr">
        <is>
          <t>docs/snake/SPEC.md §5 (Fig. 17, read off the bar chart, ±3 pp)</t>
        </is>
      </c>
      <c r="G79" t="inlineStr">
        <is>
          <t>paper value for histo</t>
        </is>
      </c>
      <c r="H79" t="inlineStr"/>
      <c r="I79">
        <f> 96.0 (final_tier1.md §3)</f>
        <v/>
      </c>
      <c r="J79" s="6" t="inlineStr">
        <is>
          <t>Verified (1B final run)</t>
        </is>
      </c>
      <c r="K79" t="inlineStr"/>
    </row>
    <row r="80">
      <c r="A80" t="inlineStr">
        <is>
          <t>value</t>
        </is>
      </c>
      <c r="B80" t="inlineStr">
        <is>
          <t>vs Snake paper</t>
        </is>
      </c>
      <c r="C80" t="inlineStr">
        <is>
          <t>histo</t>
        </is>
      </c>
      <c r="D80" t="inlineStr">
        <is>
          <t>our timely accuracy (accuracy_paper)</t>
        </is>
      </c>
      <c r="E80" s="14" t="n">
        <v>10.75935100028522</v>
      </c>
      <c r="F80" t="inlineStr">
        <is>
          <t>sim_run_snake/runs/parboil-histo/_i___data_default_input_img_bin__o_ref_bmp____20_4/QV100-SASS-PAPER_V100-1B_INSN-SNAKE-SNAKE_FP1</t>
        </is>
      </c>
      <c r="G80" t="inlineStr">
        <is>
          <t>snake_pf_useful_timely / snake_demand_sector_accesses</t>
        </is>
      </c>
      <c r="H80" t="inlineStr">
        <is>
          <t>accelsim-commit-2c3a333_modified_0.0 gpgpu-sim_git-commit-3f635b67_modified_0.0</t>
        </is>
      </c>
      <c r="I80">
        <f> 10.8 (final_tier1.md §3)</f>
        <v/>
      </c>
      <c r="J80" s="6" t="inlineStr">
        <is>
          <t>Verified (1B final run)</t>
        </is>
      </c>
      <c r="K80" t="inlineStr"/>
    </row>
    <row r="81">
      <c r="A81" t="inlineStr">
        <is>
          <t>value</t>
        </is>
      </c>
      <c r="B81" t="inlineStr">
        <is>
          <t>vs Snake paper</t>
        </is>
      </c>
      <c r="C81" t="inlineStr">
        <is>
          <t>histo</t>
        </is>
      </c>
      <c r="D81" t="inlineStr">
        <is>
          <t>paper IPC gain (Fig. 18)</t>
        </is>
      </c>
      <c r="E81" s="14" t="n">
        <v>33</v>
      </c>
      <c r="F81" t="inlineStr">
        <is>
          <t>docs/snake/SPEC.md §5 (Fig. 18, read off the bar chart, ±3 pp)</t>
        </is>
      </c>
      <c r="G81" t="inlineStr">
        <is>
          <t>paper value for histo</t>
        </is>
      </c>
      <c r="H81" t="inlineStr"/>
      <c r="I81">
        <f> 33.0 (final_tier1.md §3); = 33.0 (D1_ceilings.md §5 PAPER_V100)</f>
        <v/>
      </c>
      <c r="J81" s="6" t="inlineStr">
        <is>
          <t>Verified (1B final run)</t>
        </is>
      </c>
      <c r="K81" t="inlineStr"/>
    </row>
    <row r="82">
      <c r="A82" t="inlineStr">
        <is>
          <t>value</t>
        </is>
      </c>
      <c r="B82" t="inlineStr">
        <is>
          <t>vs Snake paper</t>
        </is>
      </c>
      <c r="C82" t="inlineStr">
        <is>
          <t>histo</t>
        </is>
      </c>
      <c r="D82" t="inlineStr">
        <is>
          <t>our IPC gain</t>
        </is>
      </c>
      <c r="E82" s="14" t="n">
        <v>-1.926571697820734</v>
      </c>
      <c r="F82" t="inlineStr">
        <is>
          <t>sim_run_snake/runs/parboil-histo/_i___data_default_input_img_bin__o_ref_bmp____20_4/QV100-SASS-PAPER_V100-1B_INSN-SNAKE-SNAKE_FP1; sim_run_baseline/runs/parboil-histo/_i___data_default_input_img_bin__o_ref_bmp____20_4/QV100-SASS-PAPER_V100-1B_INSN</t>
        </is>
      </c>
      <c r="G82" t="inlineStr">
        <is>
          <t>gpu_tot_ipc Snake / gpu_tot_ipc baseline - 1</t>
        </is>
      </c>
      <c r="H82" t="inlineStr">
        <is>
          <t>accelsim-commit-2c3a333_modified_0.0 gpgpu-sim_git-commit-3f635b67_modified_0.0</t>
        </is>
      </c>
      <c r="I82">
        <f> -1.9 (final_tier1.md §3); = -1.9 (D1_ceilings.md §5 PAPER_V100); = 667.0398 (final_tier1.csv ipc (QV100-SASS-PAPER_V100-1B_INSN)); = 654.1888 (final_tier1.csv ipc (QV100-SASS-PAPER_V100-1B_INSN-SNAKE-SNAKE_FP1))</f>
        <v/>
      </c>
      <c r="J82" s="6" t="inlineStr">
        <is>
          <t>Verified (1B final run)</t>
        </is>
      </c>
      <c r="K82" t="inlineStr"/>
    </row>
    <row r="83">
      <c r="A83" t="inlineStr">
        <is>
          <t>value</t>
        </is>
      </c>
      <c r="B83" t="inlineStr">
        <is>
          <t>vs Snake paper</t>
        </is>
      </c>
      <c r="C83" t="inlineStr">
        <is>
          <t>histo</t>
        </is>
      </c>
      <c r="D83" t="inlineStr">
        <is>
          <t>perfect-L1 ceiling</t>
        </is>
      </c>
      <c r="E83" s="14" t="n">
        <v>39.15892275093631</v>
      </c>
      <c r="F83" t="inlineStr">
        <is>
          <t>sim_run_snake_gate/D1_pl1d/runs/parboil-histo/_i___data_default_input_img_bin__o_ref_bmp____20_4/QV100-SASS-PAPER_V100-1B_INSN-PERFECT_L1D; sim_run_baseline/runs/parboil-histo/_i___data_default_input_img_bin__o_ref_bmp____20_4/QV100-SASS-PAPER_V100-1B_INSN</t>
        </is>
      </c>
      <c r="G83" t="inlineStr">
        <is>
          <t>gpu_tot_ipc perfect L1D / gpu_tot_ipc baseline - 1</t>
        </is>
      </c>
      <c r="H83" t="inlineStr">
        <is>
          <t>accelsim-commit-2c3a333_modified_0.0 accelsim-commit-ac28769_modified_0.0 gpgpu-sim_git-commit-3f635b67_modified_0.0 gpgpu-sim_git-commit-7ed7810e_modified_0.0</t>
        </is>
      </c>
      <c r="I83">
        <f> 39.2 (D1_ceilings.md §5 PAPER_V100)</f>
        <v/>
      </c>
      <c r="J83" s="6" t="inlineStr">
        <is>
          <t>Verified (1B final run)</t>
        </is>
      </c>
      <c r="K83" t="inlineStr"/>
    </row>
    <row r="84">
      <c r="A84" t="inlineStr">
        <is>
          <t>value</t>
        </is>
      </c>
      <c r="B84" t="inlineStr">
        <is>
          <t>vs Snake paper</t>
        </is>
      </c>
      <c r="C84" t="inlineStr">
        <is>
          <t>histo</t>
        </is>
      </c>
      <c r="D84" t="inlineStr">
        <is>
          <t>L1 hit baseline</t>
        </is>
      </c>
      <c r="E84" s="14" t="n">
        <v>59.10396680345421</v>
      </c>
      <c r="F84" t="inlineStr">
        <is>
          <t>sim_run_baseline/runs/parboil-histo/_i___data_default_input_img_bin__o_ref_bmp____20_4/QV100-SASS-PAPER_V100-1B_INSN</t>
        </is>
      </c>
      <c r="G84" t="inlineStr">
        <is>
          <t>GLOBAL_ACC_R HIT / TOTAL_ACCESS (baseline)</t>
        </is>
      </c>
      <c r="H84" t="inlineStr">
        <is>
          <t>accelsim-commit-2c3a333_modified_0.0 gpgpu-sim_git-commit-3f635b67_modified_0.0</t>
        </is>
      </c>
      <c r="I84">
        <f> 59.1 (final_tier1.md §3); = 59.103966803454206 (final_tier1.csv l1_hit_rate)</f>
        <v/>
      </c>
      <c r="J84" s="6" t="inlineStr">
        <is>
          <t>Verified (1B final run)</t>
        </is>
      </c>
      <c r="K84" t="inlineStr"/>
    </row>
    <row r="85">
      <c r="A85" t="inlineStr">
        <is>
          <t>value</t>
        </is>
      </c>
      <c r="B85" t="inlineStr">
        <is>
          <t>vs Snake paper</t>
        </is>
      </c>
      <c r="C85" t="inlineStr">
        <is>
          <t>histo</t>
        </is>
      </c>
      <c r="D85" t="inlineStr">
        <is>
          <t>L1 hit Snake</t>
        </is>
      </c>
      <c r="E85" s="14" t="n">
        <v>69.32116503423968</v>
      </c>
      <c r="F85" t="inlineStr">
        <is>
          <t>sim_run_snake/runs/parboil-histo/_i___data_default_input_img_bin__o_ref_bmp____20_4/QV100-SASS-PAPER_V100-1B_INSN-SNAKE-SNAKE_FP1</t>
        </is>
      </c>
      <c r="G85" t="inlineStr">
        <is>
          <t>GLOBAL_ACC_R HIT / TOTAL_ACCESS (Snake)</t>
        </is>
      </c>
      <c r="H85" t="inlineStr">
        <is>
          <t>accelsim-commit-2c3a333_modified_0.0 gpgpu-sim_git-commit-3f635b67_modified_0.0</t>
        </is>
      </c>
      <c r="I85">
        <f> 69.3 (final_tier1.md §3); = 69.32116503423968 (final_tier1.csv l1_hit_rate)</f>
        <v/>
      </c>
      <c r="J85" s="6" t="inlineStr">
        <is>
          <t>Verified (1B final run)</t>
        </is>
      </c>
      <c r="K85" t="inlineStr"/>
    </row>
    <row r="86">
      <c r="A86" t="inlineStr">
        <is>
          <t>value</t>
        </is>
      </c>
      <c r="B86" t="inlineStr">
        <is>
          <t>vs Snake paper</t>
        </is>
      </c>
      <c r="C86" t="inlineStr">
        <is>
          <t>histo</t>
        </is>
      </c>
      <c r="D86" t="inlineStr">
        <is>
          <t>paper L1 hit baseline (Fig. 25 avg)</t>
        </is>
      </c>
      <c r="E86" t="inlineStr">
        <is>
          <t>n/a</t>
        </is>
      </c>
      <c r="F86" t="inlineStr">
        <is>
          <t>docs/snake/SPEC.md §5</t>
        </is>
      </c>
      <c r="G86" t="inlineStr">
        <is>
          <t>Fig. 25 gives the 11-app average only</t>
        </is>
      </c>
      <c r="H86" t="inlineStr"/>
      <c r="I86" t="inlineStr"/>
      <c r="J86" s="6" t="inlineStr">
        <is>
          <t>Verified (1B final run)</t>
        </is>
      </c>
      <c r="K86" t="inlineStr"/>
    </row>
    <row r="87">
      <c r="A87" t="inlineStr">
        <is>
          <t>value</t>
        </is>
      </c>
      <c r="B87" t="inlineStr">
        <is>
          <t>vs Snake paper</t>
        </is>
      </c>
      <c r="C87" t="inlineStr">
        <is>
          <t>histo</t>
        </is>
      </c>
      <c r="D87" t="inlineStr">
        <is>
          <t>paper L1 hit Snake (Fig. 25 avg)</t>
        </is>
      </c>
      <c r="E87" t="inlineStr">
        <is>
          <t>n/a</t>
        </is>
      </c>
      <c r="F87" t="inlineStr">
        <is>
          <t>docs/snake/SPEC.md §5</t>
        </is>
      </c>
      <c r="G87" t="inlineStr">
        <is>
          <t>Fig. 25 gives the 11-app average only</t>
        </is>
      </c>
      <c r="H87" t="inlineStr"/>
      <c r="I87" t="inlineStr"/>
      <c r="J87" s="6" t="inlineStr">
        <is>
          <t>Verified (1B final run)</t>
        </is>
      </c>
      <c r="K87" t="inlineStr"/>
    </row>
    <row r="88">
      <c r="A88" t="inlineStr">
        <is>
          <t>value</t>
        </is>
      </c>
      <c r="B88" t="inlineStr">
        <is>
          <t>vs Snake paper</t>
        </is>
      </c>
      <c r="C88" t="inlineStr">
        <is>
          <t>mri-q</t>
        </is>
      </c>
      <c r="D88" t="inlineStr">
        <is>
          <t>paper coverage (Fig. 16)</t>
        </is>
      </c>
      <c r="E88" s="14" t="n">
        <v>72</v>
      </c>
      <c r="F88" t="inlineStr">
        <is>
          <t>docs/snake/SPEC.md §5 (Fig. 16, read off the bar chart, ±3 pp)</t>
        </is>
      </c>
      <c r="G88" t="inlineStr">
        <is>
          <t>paper value for mri-q</t>
        </is>
      </c>
      <c r="H88" t="inlineStr"/>
      <c r="I88">
        <f> 72.0 (final_tier1.md §3)</f>
        <v/>
      </c>
      <c r="J88" s="6" t="inlineStr">
        <is>
          <t>Verified (1B final run)</t>
        </is>
      </c>
      <c r="K88" t="inlineStr"/>
    </row>
    <row r="89">
      <c r="A89" t="inlineStr">
        <is>
          <t>value</t>
        </is>
      </c>
      <c r="B89" t="inlineStr">
        <is>
          <t>vs Snake paper</t>
        </is>
      </c>
      <c r="C89" t="inlineStr">
        <is>
          <t>mri-q</t>
        </is>
      </c>
      <c r="D89" t="inlineStr">
        <is>
          <t>our predicted coverage (coverage_pred)</t>
        </is>
      </c>
      <c r="E89" s="14" t="n">
        <v>87.97260802469135</v>
      </c>
      <c r="F89" t="inlineStr">
        <is>
          <t>sim_run_snake/runs/parboil-mri-q/_i___data_small_input_32_32_32_dataset_bin__o_32_32_32_dataset_out/QV100-SASS-PAPER_V100-1B_INSN-SNAKE-SNAKE_FP1</t>
        </is>
      </c>
      <c r="G89" t="inlineStr">
        <is>
          <t>snake_demand_pred_matched / snake_demand_sector_accesses</t>
        </is>
      </c>
      <c r="H89" t="inlineStr">
        <is>
          <t>accelsim-commit-2c3a333_modified_0.0 gpgpu-sim_git-commit-3f635b67_modified_0.0</t>
        </is>
      </c>
      <c r="I89">
        <f> 88.0 (final_tier1.md §3)</f>
        <v/>
      </c>
      <c r="J89" s="6" t="inlineStr">
        <is>
          <t>Verified (1B final run)</t>
        </is>
      </c>
      <c r="K89" t="inlineStr"/>
    </row>
    <row r="90">
      <c r="A90" t="inlineStr">
        <is>
          <t>value</t>
        </is>
      </c>
      <c r="B90" t="inlineStr">
        <is>
          <t>vs Snake paper</t>
        </is>
      </c>
      <c r="C90" t="inlineStr">
        <is>
          <t>mri-q</t>
        </is>
      </c>
      <c r="D90" t="inlineStr">
        <is>
          <t>our delivered coverage (coverage_paper)</t>
        </is>
      </c>
      <c r="E90" s="14" t="n">
        <v>9.328382201646091</v>
      </c>
      <c r="F90" t="inlineStr">
        <is>
          <t>sim_run_snake/runs/parboil-mri-q/_i___data_small_input_32_32_32_dataset_bin__o_32_32_32_dataset_out/QV100-SASS-PAPER_V100-1B_INSN-SNAKE-SNAKE_FP1</t>
        </is>
      </c>
      <c r="G90" t="inlineStr">
        <is>
          <t>(snake_pf_useful_timely + snake_pf_late) / snake_demand_sector_accesses</t>
        </is>
      </c>
      <c r="H90" t="inlineStr">
        <is>
          <t>accelsim-commit-2c3a333_modified_0.0 gpgpu-sim_git-commit-3f635b67_modified_0.0</t>
        </is>
      </c>
      <c r="I90">
        <f> 9.3 (final_tier1.md §3)</f>
        <v/>
      </c>
      <c r="J90" s="6" t="inlineStr">
        <is>
          <t>Verified (1B final run)</t>
        </is>
      </c>
      <c r="K90" t="inlineStr"/>
    </row>
    <row r="91">
      <c r="A91" t="inlineStr">
        <is>
          <t>value</t>
        </is>
      </c>
      <c r="B91" t="inlineStr">
        <is>
          <t>vs Snake paper</t>
        </is>
      </c>
      <c r="C91" t="inlineStr">
        <is>
          <t>mri-q</t>
        </is>
      </c>
      <c r="D91" t="inlineStr">
        <is>
          <t>paper accuracy, timely (Fig. 17)</t>
        </is>
      </c>
      <c r="E91" s="14" t="n">
        <v>60</v>
      </c>
      <c r="F91" t="inlineStr">
        <is>
          <t>docs/snake/SPEC.md §5 (Fig. 17, read off the bar chart, ±3 pp)</t>
        </is>
      </c>
      <c r="G91" t="inlineStr">
        <is>
          <t>paper value for mri-q</t>
        </is>
      </c>
      <c r="H91" t="inlineStr"/>
      <c r="I91">
        <f> 60.0 (final_tier1.md §3)</f>
        <v/>
      </c>
      <c r="J91" s="6" t="inlineStr">
        <is>
          <t>Verified (1B final run)</t>
        </is>
      </c>
      <c r="K91" t="inlineStr"/>
    </row>
    <row r="92">
      <c r="A92" t="inlineStr">
        <is>
          <t>value</t>
        </is>
      </c>
      <c r="B92" t="inlineStr">
        <is>
          <t>vs Snake paper</t>
        </is>
      </c>
      <c r="C92" t="inlineStr">
        <is>
          <t>mri-q</t>
        </is>
      </c>
      <c r="D92" t="inlineStr">
        <is>
          <t>our timely accuracy (accuracy_paper)</t>
        </is>
      </c>
      <c r="E92" s="14" t="n">
        <v>0.04661779835390947</v>
      </c>
      <c r="F92" t="inlineStr">
        <is>
          <t>sim_run_snake/runs/parboil-mri-q/_i___data_small_input_32_32_32_dataset_bin__o_32_32_32_dataset_out/QV100-SASS-PAPER_V100-1B_INSN-SNAKE-SNAKE_FP1</t>
        </is>
      </c>
      <c r="G92" t="inlineStr">
        <is>
          <t>snake_pf_useful_timely / snake_demand_sector_accesses</t>
        </is>
      </c>
      <c r="H92" t="inlineStr">
        <is>
          <t>accelsim-commit-2c3a333_modified_0.0 gpgpu-sim_git-commit-3f635b67_modified_0.0</t>
        </is>
      </c>
      <c r="I92">
        <f> 0.0 (final_tier1.md §3)</f>
        <v/>
      </c>
      <c r="J92" s="6" t="inlineStr">
        <is>
          <t>Verified (1B final run)</t>
        </is>
      </c>
      <c r="K92" t="inlineStr"/>
    </row>
    <row r="93">
      <c r="A93" t="inlineStr">
        <is>
          <t>value</t>
        </is>
      </c>
      <c r="B93" t="inlineStr">
        <is>
          <t>vs Snake paper</t>
        </is>
      </c>
      <c r="C93" t="inlineStr">
        <is>
          <t>mri-q</t>
        </is>
      </c>
      <c r="D93" t="inlineStr">
        <is>
          <t>paper IPC gain (Fig. 18)</t>
        </is>
      </c>
      <c r="E93" s="14" t="n">
        <v>4</v>
      </c>
      <c r="F93" t="inlineStr">
        <is>
          <t>docs/snake/SPEC.md §5 (Fig. 18, read off the bar chart, ±3 pp)</t>
        </is>
      </c>
      <c r="G93" t="inlineStr">
        <is>
          <t>paper value for mri-q</t>
        </is>
      </c>
      <c r="H93" t="inlineStr"/>
      <c r="I93">
        <f> 4.0 (final_tier1.md §3); = 4.0 (D1_ceilings.md §5 PAPER_V100)</f>
        <v/>
      </c>
      <c r="J93" s="6" t="inlineStr">
        <is>
          <t>Verified (1B final run)</t>
        </is>
      </c>
      <c r="K93" t="inlineStr"/>
    </row>
    <row r="94">
      <c r="A94" t="inlineStr">
        <is>
          <t>value</t>
        </is>
      </c>
      <c r="B94" t="inlineStr">
        <is>
          <t>vs Snake paper</t>
        </is>
      </c>
      <c r="C94" t="inlineStr">
        <is>
          <t>mri-q</t>
        </is>
      </c>
      <c r="D94" t="inlineStr">
        <is>
          <t>our IPC gain</t>
        </is>
      </c>
      <c r="E94" s="14" t="n">
        <v>0.0919251809866406</v>
      </c>
      <c r="F94" t="inlineStr">
        <is>
          <t>sim_run_snake/runs/parboil-mri-q/_i___data_small_input_32_32_32_dataset_bin__o_32_32_32_dataset_out/QV100-SASS-PAPER_V100-1B_INSN-SNAKE-SNAKE_FP1; sim_run_baseline/runs/parboil-mri-q/_i___data_small_input_32_32_32_dataset_bin__o_32_32_32_dataset_out/QV100-SASS-PAPER_V100-1B_INSN</t>
        </is>
      </c>
      <c r="G94" t="inlineStr">
        <is>
          <t>gpu_tot_ipc Snake / gpu_tot_ipc baseline - 1</t>
        </is>
      </c>
      <c r="H94" t="inlineStr">
        <is>
          <t>accelsim-commit-2c3a333_modified_0.0 gpgpu-sim_git-commit-3f635b67_modified_0.0</t>
        </is>
      </c>
      <c r="I94">
        <f> 0.1 (final_tier1.md §3); = 0.1 (D1_ceilings.md §5 PAPER_V100); = 3844.6484 (final_tier1.csv ipc (QV100-SASS-PAPER_V100-1B_INSN)); = 3848.1826 (final_tier1.csv ipc (QV100-SASS-PAPER_V100-1B_INSN-SNAKE-SNAKE_FP1))</f>
        <v/>
      </c>
      <c r="J94" s="6" t="inlineStr">
        <is>
          <t>Verified (1B final run)</t>
        </is>
      </c>
      <c r="K94" t="inlineStr"/>
    </row>
    <row r="95">
      <c r="A95" t="inlineStr">
        <is>
          <t>value</t>
        </is>
      </c>
      <c r="B95" t="inlineStr">
        <is>
          <t>vs Snake paper</t>
        </is>
      </c>
      <c r="C95" t="inlineStr">
        <is>
          <t>mri-q</t>
        </is>
      </c>
      <c r="D95" t="inlineStr">
        <is>
          <t>perfect-L1 ceiling</t>
        </is>
      </c>
      <c r="E95" s="14" t="n">
        <v>2.175140384748842</v>
      </c>
      <c r="F95" t="inlineStr">
        <is>
          <t>sim_run_snake_gate/D1_pl1d/runs/parboil-mri-q/_i___data_small_input_32_32_32_dataset_bin__o_32_32_32_dataset_out/QV100-SASS-PAPER_V100-1B_INSN-PERFECT_L1D; sim_run_baseline/runs/parboil-mri-q/_i___data_small_input_32_32_32_dataset_bin__o_32_32_32_dataset_out/QV100-SASS-PAPER_V100-1B_INSN</t>
        </is>
      </c>
      <c r="G95" t="inlineStr">
        <is>
          <t>gpu_tot_ipc perfect L1D / gpu_tot_ipc baseline - 1</t>
        </is>
      </c>
      <c r="H95" t="inlineStr">
        <is>
          <t>accelsim-commit-2c3a333_modified_0.0 accelsim-commit-ac28769_modified_0.0 gpgpu-sim_git-commit-3f635b67_modified_0.0 gpgpu-sim_git-commit-7ed7810e_modified_0.0</t>
        </is>
      </c>
      <c r="I95">
        <f> 2.2 (D1_ceilings.md §5 PAPER_V100)</f>
        <v/>
      </c>
      <c r="J95" s="6" t="inlineStr">
        <is>
          <t>Verified (1B final run)</t>
        </is>
      </c>
      <c r="K95" t="inlineStr"/>
    </row>
    <row r="96">
      <c r="A96" t="inlineStr">
        <is>
          <t>value</t>
        </is>
      </c>
      <c r="B96" t="inlineStr">
        <is>
          <t>vs Snake paper</t>
        </is>
      </c>
      <c r="C96" t="inlineStr">
        <is>
          <t>mri-q</t>
        </is>
      </c>
      <c r="D96" t="inlineStr">
        <is>
          <t>L1 hit baseline</t>
        </is>
      </c>
      <c r="E96" s="14" t="n">
        <v>0</v>
      </c>
      <c r="F96" t="inlineStr">
        <is>
          <t>sim_run_baseline/runs/parboil-mri-q/_i___data_small_input_32_32_32_dataset_bin__o_32_32_32_dataset_out/QV100-SASS-PAPER_V100-1B_INSN</t>
        </is>
      </c>
      <c r="G96" t="inlineStr">
        <is>
          <t>GLOBAL_ACC_R HIT / TOTAL_ACCESS (baseline)</t>
        </is>
      </c>
      <c r="H96" t="inlineStr">
        <is>
          <t>accelsim-commit-2c3a333_modified_0.0 gpgpu-sim_git-commit-3f635b67_modified_0.0</t>
        </is>
      </c>
      <c r="I96">
        <f> 0.0 (final_tier1.md §3); = 0.0 (final_tier1.csv l1_hit_rate)</f>
        <v/>
      </c>
      <c r="J96" s="6" t="inlineStr">
        <is>
          <t>Verified (1B final run)</t>
        </is>
      </c>
      <c r="K96" t="inlineStr"/>
    </row>
    <row r="97">
      <c r="A97" t="inlineStr">
        <is>
          <t>value</t>
        </is>
      </c>
      <c r="B97" t="inlineStr">
        <is>
          <t>vs Snake paper</t>
        </is>
      </c>
      <c r="C97" t="inlineStr">
        <is>
          <t>mri-q</t>
        </is>
      </c>
      <c r="D97" t="inlineStr">
        <is>
          <t>L1 hit Snake</t>
        </is>
      </c>
      <c r="E97" s="14" t="n">
        <v>0.04661779835390947</v>
      </c>
      <c r="F97" t="inlineStr">
        <is>
          <t>sim_run_snake/runs/parboil-mri-q/_i___data_small_input_32_32_32_dataset_bin__o_32_32_32_dataset_out/QV100-SASS-PAPER_V100-1B_INSN-SNAKE-SNAKE_FP1</t>
        </is>
      </c>
      <c r="G97" t="inlineStr">
        <is>
          <t>GLOBAL_ACC_R HIT / TOTAL_ACCESS (Snake)</t>
        </is>
      </c>
      <c r="H97" t="inlineStr">
        <is>
          <t>accelsim-commit-2c3a333_modified_0.0 gpgpu-sim_git-commit-3f635b67_modified_0.0</t>
        </is>
      </c>
      <c r="I97">
        <f> 0.0 (final_tier1.md §3); = 0.046617798353909466 (final_tier1.csv l1_hit_rate)</f>
        <v/>
      </c>
      <c r="J97" s="6" t="inlineStr">
        <is>
          <t>Verified (1B final run)</t>
        </is>
      </c>
      <c r="K97" t="inlineStr"/>
    </row>
    <row r="98">
      <c r="A98" t="inlineStr">
        <is>
          <t>value</t>
        </is>
      </c>
      <c r="B98" t="inlineStr">
        <is>
          <t>vs Snake paper</t>
        </is>
      </c>
      <c r="C98" t="inlineStr">
        <is>
          <t>mri-q</t>
        </is>
      </c>
      <c r="D98" t="inlineStr">
        <is>
          <t>paper L1 hit baseline (Fig. 25 avg)</t>
        </is>
      </c>
      <c r="E98" t="inlineStr">
        <is>
          <t>n/a</t>
        </is>
      </c>
      <c r="F98" t="inlineStr">
        <is>
          <t>docs/snake/SPEC.md §5</t>
        </is>
      </c>
      <c r="G98" t="inlineStr">
        <is>
          <t>Fig. 25 gives the 11-app average only</t>
        </is>
      </c>
      <c r="H98" t="inlineStr"/>
      <c r="I98" t="inlineStr"/>
      <c r="J98" s="6" t="inlineStr">
        <is>
          <t>Verified (1B final run)</t>
        </is>
      </c>
      <c r="K98" t="inlineStr"/>
    </row>
    <row r="99">
      <c r="A99" t="inlineStr">
        <is>
          <t>value</t>
        </is>
      </c>
      <c r="B99" t="inlineStr">
        <is>
          <t>vs Snake paper</t>
        </is>
      </c>
      <c r="C99" t="inlineStr">
        <is>
          <t>mri-q</t>
        </is>
      </c>
      <c r="D99" t="inlineStr">
        <is>
          <t>paper L1 hit Snake (Fig. 25 avg)</t>
        </is>
      </c>
      <c r="E99" t="inlineStr">
        <is>
          <t>n/a</t>
        </is>
      </c>
      <c r="F99" t="inlineStr">
        <is>
          <t>docs/snake/SPEC.md §5</t>
        </is>
      </c>
      <c r="G99" t="inlineStr">
        <is>
          <t>Fig. 25 gives the 11-app average only</t>
        </is>
      </c>
      <c r="H99" t="inlineStr"/>
      <c r="I99" t="inlineStr"/>
      <c r="J99" s="6" t="inlineStr">
        <is>
          <t>Verified (1B final run)</t>
        </is>
      </c>
      <c r="K99" t="inlineStr"/>
    </row>
    <row r="100">
      <c r="A100" t="inlineStr">
        <is>
          <t>value</t>
        </is>
      </c>
      <c r="B100" t="inlineStr">
        <is>
          <t>vs Snake paper</t>
        </is>
      </c>
      <c r="C100" t="inlineStr">
        <is>
          <t>srad_v1</t>
        </is>
      </c>
      <c r="D100" t="inlineStr">
        <is>
          <t>paper coverage (Fig. 16)</t>
        </is>
      </c>
      <c r="E100" s="14" t="n">
        <v>87</v>
      </c>
      <c r="F100" t="inlineStr">
        <is>
          <t>docs/snake/SPEC.md §5 (Fig. 16, read off the bar chart, ±3 pp)</t>
        </is>
      </c>
      <c r="G100" t="inlineStr">
        <is>
          <t>paper value for srad_v1</t>
        </is>
      </c>
      <c r="H100" t="inlineStr"/>
      <c r="I100">
        <f> 87.0 (final_tier1.md §3)</f>
        <v/>
      </c>
      <c r="J100" s="6" t="inlineStr">
        <is>
          <t>Verified (1B final run)</t>
        </is>
      </c>
      <c r="K100" t="inlineStr"/>
    </row>
    <row r="101">
      <c r="A101" t="inlineStr">
        <is>
          <t>value</t>
        </is>
      </c>
      <c r="B101" t="inlineStr">
        <is>
          <t>vs Snake paper</t>
        </is>
      </c>
      <c r="C101" t="inlineStr">
        <is>
          <t>srad_v1</t>
        </is>
      </c>
      <c r="D101" t="inlineStr">
        <is>
          <t>our predicted coverage (coverage_pred)</t>
        </is>
      </c>
      <c r="E101" s="14" t="n">
        <v>84.79575939716703</v>
      </c>
      <c r="F101" t="inlineStr">
        <is>
          <t>sim_run_snake/runs/srad_v1-rodinia-3.1/100_0_5_502_458/QV100-SASS-PAPER_V100-1B_INSN-SNAKE-SNAKE_FP1</t>
        </is>
      </c>
      <c r="G101" t="inlineStr">
        <is>
          <t>snake_demand_pred_matched / snake_demand_sector_accesses</t>
        </is>
      </c>
      <c r="H101" t="inlineStr">
        <is>
          <t>accelsim-commit-2c3a333_modified_0.0 gpgpu-sim_git-commit-3f635b67_modified_0.0</t>
        </is>
      </c>
      <c r="I101">
        <f> 84.8 (final_tier1.md §3)</f>
        <v/>
      </c>
      <c r="J101" s="6" t="inlineStr">
        <is>
          <t>Verified (1B final run)</t>
        </is>
      </c>
      <c r="K101" t="inlineStr"/>
    </row>
    <row r="102">
      <c r="A102" t="inlineStr">
        <is>
          <t>value</t>
        </is>
      </c>
      <c r="B102" t="inlineStr">
        <is>
          <t>vs Snake paper</t>
        </is>
      </c>
      <c r="C102" t="inlineStr">
        <is>
          <t>srad_v1</t>
        </is>
      </c>
      <c r="D102" t="inlineStr">
        <is>
          <t>our delivered coverage (coverage_paper)</t>
        </is>
      </c>
      <c r="E102" s="14" t="n">
        <v>12.51579355804815</v>
      </c>
      <c r="F102" t="inlineStr">
        <is>
          <t>sim_run_snake/runs/srad_v1-rodinia-3.1/100_0_5_502_458/QV100-SASS-PAPER_V100-1B_INSN-SNAKE-SNAKE_FP1</t>
        </is>
      </c>
      <c r="G102" t="inlineStr">
        <is>
          <t>(snake_pf_useful_timely + snake_pf_late) / snake_demand_sector_accesses</t>
        </is>
      </c>
      <c r="H102" t="inlineStr">
        <is>
          <t>accelsim-commit-2c3a333_modified_0.0 gpgpu-sim_git-commit-3f635b67_modified_0.0</t>
        </is>
      </c>
      <c r="I102">
        <f> 12.5 (final_tier1.md §3)</f>
        <v/>
      </c>
      <c r="J102" s="6" t="inlineStr">
        <is>
          <t>Verified (1B final run)</t>
        </is>
      </c>
      <c r="K102" t="inlineStr"/>
    </row>
    <row r="103">
      <c r="A103" t="inlineStr">
        <is>
          <t>value</t>
        </is>
      </c>
      <c r="B103" t="inlineStr">
        <is>
          <t>vs Snake paper</t>
        </is>
      </c>
      <c r="C103" t="inlineStr">
        <is>
          <t>srad_v1</t>
        </is>
      </c>
      <c r="D103" t="inlineStr">
        <is>
          <t>paper accuracy, timely (Fig. 17)</t>
        </is>
      </c>
      <c r="E103" s="14" t="n">
        <v>83</v>
      </c>
      <c r="F103" t="inlineStr">
        <is>
          <t>docs/snake/SPEC.md §5 (Fig. 17, read off the bar chart, ±3 pp)</t>
        </is>
      </c>
      <c r="G103" t="inlineStr">
        <is>
          <t>paper value for srad_v1</t>
        </is>
      </c>
      <c r="H103" t="inlineStr"/>
      <c r="I103">
        <f> 83.0 (final_tier1.md §3)</f>
        <v/>
      </c>
      <c r="J103" s="6" t="inlineStr">
        <is>
          <t>Verified (1B final run)</t>
        </is>
      </c>
      <c r="K103" t="inlineStr"/>
    </row>
    <row r="104">
      <c r="A104" t="inlineStr">
        <is>
          <t>value</t>
        </is>
      </c>
      <c r="B104" t="inlineStr">
        <is>
          <t>vs Snake paper</t>
        </is>
      </c>
      <c r="C104" t="inlineStr">
        <is>
          <t>srad_v1</t>
        </is>
      </c>
      <c r="D104" t="inlineStr">
        <is>
          <t>our timely accuracy (accuracy_paper)</t>
        </is>
      </c>
      <c r="E104" s="14" t="n">
        <v>3.486216708414522</v>
      </c>
      <c r="F104" t="inlineStr">
        <is>
          <t>sim_run_snake/runs/srad_v1-rodinia-3.1/100_0_5_502_458/QV100-SASS-PAPER_V100-1B_INSN-SNAKE-SNAKE_FP1</t>
        </is>
      </c>
      <c r="G104" t="inlineStr">
        <is>
          <t>snake_pf_useful_timely / snake_demand_sector_accesses</t>
        </is>
      </c>
      <c r="H104" t="inlineStr">
        <is>
          <t>accelsim-commit-2c3a333_modified_0.0 gpgpu-sim_git-commit-3f635b67_modified_0.0</t>
        </is>
      </c>
      <c r="I104">
        <f> 3.5 (final_tier1.md §3)</f>
        <v/>
      </c>
      <c r="J104" s="6" t="inlineStr">
        <is>
          <t>Verified (1B final run)</t>
        </is>
      </c>
      <c r="K104" t="inlineStr"/>
    </row>
    <row r="105">
      <c r="A105" t="inlineStr">
        <is>
          <t>value</t>
        </is>
      </c>
      <c r="B105" t="inlineStr">
        <is>
          <t>vs Snake paper</t>
        </is>
      </c>
      <c r="C105" t="inlineStr">
        <is>
          <t>srad_v1</t>
        </is>
      </c>
      <c r="D105" t="inlineStr">
        <is>
          <t>paper IPC gain (Fig. 18)</t>
        </is>
      </c>
      <c r="E105" s="14" t="n">
        <v>29</v>
      </c>
      <c r="F105" t="inlineStr">
        <is>
          <t>docs/snake/SPEC.md §5 (Fig. 18, read off the bar chart, ±3 pp)</t>
        </is>
      </c>
      <c r="G105" t="inlineStr">
        <is>
          <t>paper value for srad_v1</t>
        </is>
      </c>
      <c r="H105" t="inlineStr"/>
      <c r="I105">
        <f> 29.0 (final_tier1.md §3); = 29.0 (D1_ceilings.md §5 PAPER_V100)</f>
        <v/>
      </c>
      <c r="J105" s="6" t="inlineStr">
        <is>
          <t>Verified (1B final run)</t>
        </is>
      </c>
      <c r="K105" t="inlineStr"/>
    </row>
    <row r="106">
      <c r="A106" t="inlineStr">
        <is>
          <t>value</t>
        </is>
      </c>
      <c r="B106" t="inlineStr">
        <is>
          <t>vs Snake paper</t>
        </is>
      </c>
      <c r="C106" t="inlineStr">
        <is>
          <t>srad_v1</t>
        </is>
      </c>
      <c r="D106" t="inlineStr">
        <is>
          <t>our IPC gain</t>
        </is>
      </c>
      <c r="E106" s="14" t="n">
        <v>-0.2107928063649012</v>
      </c>
      <c r="F106" t="inlineStr">
        <is>
          <t>sim_run_snake/runs/srad_v1-rodinia-3.1/100_0_5_502_458/QV100-SASS-PAPER_V100-1B_INSN-SNAKE-SNAKE_FP1; sim_run_baseline/runs/srad_v1-rodinia-3.1/100_0_5_502_458/QV100-SASS-PAPER_V100-1B_INSN</t>
        </is>
      </c>
      <c r="G106" t="inlineStr">
        <is>
          <t>gpu_tot_ipc Snake / gpu_tot_ipc baseline - 1</t>
        </is>
      </c>
      <c r="H106" t="inlineStr">
        <is>
          <t>accelsim-commit-2c3a333_modified_0.0 gpgpu-sim_git-commit-3f635b67_modified_0.0</t>
        </is>
      </c>
      <c r="I106">
        <f> -0.2 (final_tier1.md §3); = -0.2 (D1_ceilings.md §5 PAPER_V100); = 1546.4949 (final_tier1.csv ipc (QV100-SASS-PAPER_V100-1B_INSN)); = 1543.235 (final_tier1.csv ipc (QV100-SASS-PAPER_V100-1B_INSN-SNAKE-SNAKE_FP1))</f>
        <v/>
      </c>
      <c r="J106" s="6" t="inlineStr">
        <is>
          <t>Verified (1B final run)</t>
        </is>
      </c>
      <c r="K106" t="inlineStr"/>
    </row>
    <row r="107">
      <c r="A107" t="inlineStr">
        <is>
          <t>value</t>
        </is>
      </c>
      <c r="B107" t="inlineStr">
        <is>
          <t>vs Snake paper</t>
        </is>
      </c>
      <c r="C107" t="inlineStr">
        <is>
          <t>srad_v1</t>
        </is>
      </c>
      <c r="D107" t="inlineStr">
        <is>
          <t>perfect-L1 ceiling</t>
        </is>
      </c>
      <c r="E107" s="14" t="n">
        <v>20.63186887974866</v>
      </c>
      <c r="F107" t="inlineStr">
        <is>
          <t>sim_run_snake_gate/D1_pl1d/runs/srad_v1-rodinia-3.1/100_0_5_502_458/QV100-SASS-PAPER_V100-1B_INSN-PERFECT_L1D; sim_run_baseline/runs/srad_v1-rodinia-3.1/100_0_5_502_458/QV100-SASS-PAPER_V100-1B_INSN</t>
        </is>
      </c>
      <c r="G107" t="inlineStr">
        <is>
          <t>gpu_tot_ipc perfect L1D / gpu_tot_ipc baseline - 1</t>
        </is>
      </c>
      <c r="H107" t="inlineStr">
        <is>
          <t>accelsim-commit-2c3a333_modified_0.0 accelsim-commit-ac28769_modified_0.0 gpgpu-sim_git-commit-3f635b67_modified_0.0 gpgpu-sim_git-commit-7ed7810e_modified_0.0</t>
        </is>
      </c>
      <c r="I107">
        <f> 20.6 (D1_ceilings.md §5 PAPER_V100)</f>
        <v/>
      </c>
      <c r="J107" s="6" t="inlineStr">
        <is>
          <t>Verified (1B final run)</t>
        </is>
      </c>
      <c r="K107" t="inlineStr"/>
    </row>
    <row r="108">
      <c r="A108" t="inlineStr">
        <is>
          <t>value</t>
        </is>
      </c>
      <c r="B108" t="inlineStr">
        <is>
          <t>vs Snake paper</t>
        </is>
      </c>
      <c r="C108" t="inlineStr">
        <is>
          <t>srad_v1</t>
        </is>
      </c>
      <c r="D108" t="inlineStr">
        <is>
          <t>L1 hit baseline</t>
        </is>
      </c>
      <c r="E108" s="14" t="n">
        <v>25.73337959903492</v>
      </c>
      <c r="F108" t="inlineStr">
        <is>
          <t>sim_run_baseline/runs/srad_v1-rodinia-3.1/100_0_5_502_458/QV100-SASS-PAPER_V100-1B_INSN</t>
        </is>
      </c>
      <c r="G108" t="inlineStr">
        <is>
          <t>GLOBAL_ACC_R HIT / TOTAL_ACCESS (baseline)</t>
        </is>
      </c>
      <c r="H108" t="inlineStr">
        <is>
          <t>accelsim-commit-2c3a333_modified_0.0 gpgpu-sim_git-commit-3f635b67_modified_0.0</t>
        </is>
      </c>
      <c r="I108">
        <f> 25.7 (final_tier1.md §3); = 25.73337959903492 (final_tier1.csv l1_hit_rate)</f>
        <v/>
      </c>
      <c r="J108" s="6" t="inlineStr">
        <is>
          <t>Verified (1B final run)</t>
        </is>
      </c>
      <c r="K108" t="inlineStr"/>
    </row>
    <row r="109">
      <c r="A109" t="inlineStr">
        <is>
          <t>value</t>
        </is>
      </c>
      <c r="B109" t="inlineStr">
        <is>
          <t>vs Snake paper</t>
        </is>
      </c>
      <c r="C109" t="inlineStr">
        <is>
          <t>srad_v1</t>
        </is>
      </c>
      <c r="D109" t="inlineStr">
        <is>
          <t>L1 hit Snake</t>
        </is>
      </c>
      <c r="E109" s="14" t="n">
        <v>31.99575003802153</v>
      </c>
      <c r="F109" t="inlineStr">
        <is>
          <t>sim_run_snake/runs/srad_v1-rodinia-3.1/100_0_5_502_458/QV100-SASS-PAPER_V100-1B_INSN-SNAKE-SNAKE_FP1</t>
        </is>
      </c>
      <c r="G109" t="inlineStr">
        <is>
          <t>GLOBAL_ACC_R HIT / TOTAL_ACCESS (Snake)</t>
        </is>
      </c>
      <c r="H109" t="inlineStr">
        <is>
          <t>accelsim-commit-2c3a333_modified_0.0 gpgpu-sim_git-commit-3f635b67_modified_0.0</t>
        </is>
      </c>
      <c r="I109">
        <f> 32.0 (final_tier1.md §3); = 31.99575003802153 (final_tier1.csv l1_hit_rate)</f>
        <v/>
      </c>
      <c r="J109" s="6" t="inlineStr">
        <is>
          <t>Verified (1B final run)</t>
        </is>
      </c>
      <c r="K109" t="inlineStr"/>
    </row>
    <row r="110">
      <c r="A110" t="inlineStr">
        <is>
          <t>value</t>
        </is>
      </c>
      <c r="B110" t="inlineStr">
        <is>
          <t>vs Snake paper</t>
        </is>
      </c>
      <c r="C110" t="inlineStr">
        <is>
          <t>srad_v1</t>
        </is>
      </c>
      <c r="D110" t="inlineStr">
        <is>
          <t>paper L1 hit baseline (Fig. 25 avg)</t>
        </is>
      </c>
      <c r="E110" t="inlineStr">
        <is>
          <t>n/a</t>
        </is>
      </c>
      <c r="F110" t="inlineStr">
        <is>
          <t>docs/snake/SPEC.md §5</t>
        </is>
      </c>
      <c r="G110" t="inlineStr">
        <is>
          <t>Fig. 25 gives the 11-app average only</t>
        </is>
      </c>
      <c r="H110" t="inlineStr"/>
      <c r="I110" t="inlineStr"/>
      <c r="J110" s="6" t="inlineStr">
        <is>
          <t>Verified (1B final run)</t>
        </is>
      </c>
      <c r="K110" t="inlineStr"/>
    </row>
    <row r="111">
      <c r="A111" t="inlineStr">
        <is>
          <t>value</t>
        </is>
      </c>
      <c r="B111" t="inlineStr">
        <is>
          <t>vs Snake paper</t>
        </is>
      </c>
      <c r="C111" t="inlineStr">
        <is>
          <t>srad_v1</t>
        </is>
      </c>
      <c r="D111" t="inlineStr">
        <is>
          <t>paper L1 hit Snake (Fig. 25 avg)</t>
        </is>
      </c>
      <c r="E111" t="inlineStr">
        <is>
          <t>n/a</t>
        </is>
      </c>
      <c r="F111" t="inlineStr">
        <is>
          <t>docs/snake/SPEC.md §5</t>
        </is>
      </c>
      <c r="G111" t="inlineStr">
        <is>
          <t>Fig. 25 gives the 11-app average only</t>
        </is>
      </c>
      <c r="H111" t="inlineStr"/>
      <c r="I111" t="inlineStr"/>
      <c r="J111" s="6" t="inlineStr">
        <is>
          <t>Verified (1B final run)</t>
        </is>
      </c>
      <c r="K111" t="inlineStr"/>
    </row>
    <row r="112">
      <c r="A112" t="inlineStr">
        <is>
          <t>value</t>
        </is>
      </c>
      <c r="B112" t="inlineStr">
        <is>
          <t>vs Snake paper</t>
        </is>
      </c>
      <c r="C112" t="inlineStr">
        <is>
          <t>7 apps: GMEAN (IPC) / mean (rates)</t>
        </is>
      </c>
      <c r="D112" t="inlineStr">
        <is>
          <t>paper coverage (Fig. 16)</t>
        </is>
      </c>
      <c r="E112" s="14" t="n">
        <v>75.71428571428571</v>
      </c>
      <c r="F112" t="inlineStr">
        <is>
          <t>docs/snake/SPEC.md §5; mean over the same 7 apps</t>
        </is>
      </c>
      <c r="G112" t="inlineStr">
        <is>
          <t>mean of the paper's Fig. 16 values</t>
        </is>
      </c>
      <c r="H112" t="inlineStr"/>
      <c r="I112">
        <f> 75.7 (final_tier1.md §3)</f>
        <v/>
      </c>
      <c r="J112" s="6" t="inlineStr">
        <is>
          <t>Verified (1B final run)</t>
        </is>
      </c>
      <c r="K112" t="inlineStr"/>
    </row>
    <row r="113">
      <c r="A113" t="inlineStr">
        <is>
          <t>value</t>
        </is>
      </c>
      <c r="B113" t="inlineStr">
        <is>
          <t>vs Snake paper</t>
        </is>
      </c>
      <c r="C113" t="inlineStr">
        <is>
          <t>7 apps: GMEAN (IPC) / mean (rates)</t>
        </is>
      </c>
      <c r="D113" t="inlineStr">
        <is>
          <t>our predicted coverage (coverage_pred)</t>
        </is>
      </c>
      <c r="E113" s="14" t="n">
        <v>63.19253864548354</v>
      </c>
      <c r="F113" t="inlineStr">
        <is>
          <t>this sheet</t>
        </is>
      </c>
      <c r="G113" t="inlineStr">
        <is>
          <t>mean over the 7 apps (an app's inputs averaged first) of the rows above</t>
        </is>
      </c>
      <c r="H113" t="inlineStr">
        <is>
          <t>accelsim-commit-2c3a333_modified_0.0 accelsim-commit-ac28769_modified_0.0 gpgpu-sim_git-commit-3f635b67_modified_0.0 gpgpu-sim_git-commit-7ed7810e_modified_0.0</t>
        </is>
      </c>
      <c r="I113">
        <f> 63.2 (final_tier1.md §3)</f>
        <v/>
      </c>
      <c r="J113" s="6" t="inlineStr">
        <is>
          <t>Verified (1B final run)</t>
        </is>
      </c>
      <c r="K113" t="inlineStr"/>
    </row>
    <row r="114">
      <c r="A114" t="inlineStr">
        <is>
          <t>value</t>
        </is>
      </c>
      <c r="B114" t="inlineStr">
        <is>
          <t>vs Snake paper</t>
        </is>
      </c>
      <c r="C114" t="inlineStr">
        <is>
          <t>7 apps: GMEAN (IPC) / mean (rates)</t>
        </is>
      </c>
      <c r="D114" t="inlineStr">
        <is>
          <t>our delivered coverage (coverage_paper)</t>
        </is>
      </c>
      <c r="E114" s="14" t="n">
        <v>21.86567464078823</v>
      </c>
      <c r="F114" t="inlineStr">
        <is>
          <t>this sheet</t>
        </is>
      </c>
      <c r="G114" t="inlineStr">
        <is>
          <t>mean over the 7 apps (an app's inputs averaged first) of the rows above</t>
        </is>
      </c>
      <c r="H114" t="inlineStr">
        <is>
          <t>accelsim-commit-2c3a333_modified_0.0 accelsim-commit-ac28769_modified_0.0 gpgpu-sim_git-commit-3f635b67_modified_0.0 gpgpu-sim_git-commit-7ed7810e_modified_0.0</t>
        </is>
      </c>
      <c r="I114">
        <f> 21.9 (final_tier1.md §3)</f>
        <v/>
      </c>
      <c r="J114" s="6" t="inlineStr">
        <is>
          <t>Verified (1B final run)</t>
        </is>
      </c>
      <c r="K114" t="inlineStr"/>
    </row>
    <row r="115">
      <c r="A115" t="inlineStr">
        <is>
          <t>value</t>
        </is>
      </c>
      <c r="B115" t="inlineStr">
        <is>
          <t>vs Snake paper</t>
        </is>
      </c>
      <c r="C115" t="inlineStr">
        <is>
          <t>7 apps: GMEAN (IPC) / mean (rates)</t>
        </is>
      </c>
      <c r="D115" t="inlineStr">
        <is>
          <t>paper accuracy, timely (Fig. 17)</t>
        </is>
      </c>
      <c r="E115" s="14" t="n">
        <v>69.14285714285714</v>
      </c>
      <c r="F115" t="inlineStr">
        <is>
          <t>docs/snake/SPEC.md §5; mean over the same 7 apps</t>
        </is>
      </c>
      <c r="G115" t="inlineStr">
        <is>
          <t>mean of the paper's Fig. 17 values</t>
        </is>
      </c>
      <c r="H115" t="inlineStr"/>
      <c r="I115">
        <f> 69.1 (final_tier1.md §3)</f>
        <v/>
      </c>
      <c r="J115" s="6" t="inlineStr">
        <is>
          <t>Verified (1B final run)</t>
        </is>
      </c>
      <c r="K115" t="inlineStr"/>
    </row>
    <row r="116">
      <c r="A116" t="inlineStr">
        <is>
          <t>value</t>
        </is>
      </c>
      <c r="B116" t="inlineStr">
        <is>
          <t>vs Snake paper</t>
        </is>
      </c>
      <c r="C116" t="inlineStr">
        <is>
          <t>7 apps: GMEAN (IPC) / mean (rates)</t>
        </is>
      </c>
      <c r="D116" t="inlineStr">
        <is>
          <t>our timely accuracy (accuracy_paper)</t>
        </is>
      </c>
      <c r="E116" s="14" t="n">
        <v>6.131635247545203</v>
      </c>
      <c r="F116" t="inlineStr">
        <is>
          <t>this sheet</t>
        </is>
      </c>
      <c r="G116" t="inlineStr">
        <is>
          <t>mean over the 7 apps (an app's inputs averaged first) of the rows above</t>
        </is>
      </c>
      <c r="H116" t="inlineStr">
        <is>
          <t>accelsim-commit-2c3a333_modified_0.0 accelsim-commit-ac28769_modified_0.0 gpgpu-sim_git-commit-3f635b67_modified_0.0 gpgpu-sim_git-commit-7ed7810e_modified_0.0</t>
        </is>
      </c>
      <c r="I116">
        <f> 6.1 (final_tier1.md §3)</f>
        <v/>
      </c>
      <c r="J116" s="6" t="inlineStr">
        <is>
          <t>Verified (1B final run)</t>
        </is>
      </c>
      <c r="K116" t="inlineStr"/>
    </row>
    <row r="117">
      <c r="A117" t="inlineStr">
        <is>
          <t>value</t>
        </is>
      </c>
      <c r="B117" t="inlineStr">
        <is>
          <t>vs Snake paper</t>
        </is>
      </c>
      <c r="C117" t="inlineStr">
        <is>
          <t>7 apps: GMEAN (IPC) / mean (rates)</t>
        </is>
      </c>
      <c r="D117" t="inlineStr">
        <is>
          <t>paper IPC gain (Fig. 18)</t>
        </is>
      </c>
      <c r="E117" s="14" t="n">
        <v>14.13552231271853</v>
      </c>
      <c r="F117" t="inlineStr">
        <is>
          <t>docs/snake/SPEC.md §5</t>
        </is>
      </c>
      <c r="G117" t="inlineStr">
        <is>
          <t>GMEAN over the same 7 apps of the paper's Fig. 18 values</t>
        </is>
      </c>
      <c r="H117" t="inlineStr"/>
      <c r="I117">
        <f> 14.1 (final_tier1.md §3); = 14.1 (D1_ceilings.md §5 PAPER_V100)</f>
        <v/>
      </c>
      <c r="J117" s="6" t="inlineStr">
        <is>
          <t>Verified (1B final run)</t>
        </is>
      </c>
      <c r="K117" t="inlineStr"/>
    </row>
    <row r="118">
      <c r="A118" t="inlineStr">
        <is>
          <t>value</t>
        </is>
      </c>
      <c r="B118" t="inlineStr">
        <is>
          <t>vs Snake paper</t>
        </is>
      </c>
      <c r="C118" t="inlineStr">
        <is>
          <t>7 apps: GMEAN (IPC) / mean (rates)</t>
        </is>
      </c>
      <c r="D118" t="inlineStr">
        <is>
          <t>our IPC gain</t>
        </is>
      </c>
      <c r="E118" s="14" t="n">
        <v>-0.2882221812144703</v>
      </c>
      <c r="F118" t="inlineStr">
        <is>
          <t>this sheet</t>
        </is>
      </c>
      <c r="G118" t="inlineStr">
        <is>
          <t>GMEAN over the 7 apps (an app's inputs combined first, geometric) of the rows above</t>
        </is>
      </c>
      <c r="H118" t="inlineStr">
        <is>
          <t>accelsim-commit-2c3a333_modified_0.0 accelsim-commit-ac28769_modified_0.0 gpgpu-sim_git-commit-3f635b67_modified_0.0 gpgpu-sim_git-commit-7ed7810e_modified_0.0</t>
        </is>
      </c>
      <c r="I118">
        <f> -0.3 (final_tier1.md §3); = -0.3 (D1_ceilings.md §5 PAPER_V100)</f>
        <v/>
      </c>
      <c r="J118" s="6" t="inlineStr">
        <is>
          <t>Verified (1B final run)</t>
        </is>
      </c>
      <c r="K118" t="inlineStr"/>
    </row>
    <row r="119">
      <c r="A119" t="inlineStr">
        <is>
          <t>value</t>
        </is>
      </c>
      <c r="B119" t="inlineStr">
        <is>
          <t>vs Snake paper</t>
        </is>
      </c>
      <c r="C119" t="inlineStr">
        <is>
          <t>7 apps: GMEAN (IPC) / mean (rates)</t>
        </is>
      </c>
      <c r="D119" t="inlineStr">
        <is>
          <t>perfect-L1 ceiling</t>
        </is>
      </c>
      <c r="E119" s="14" t="n">
        <v>16.62084528142636</v>
      </c>
      <c r="F119" t="inlineStr">
        <is>
          <t>this sheet</t>
        </is>
      </c>
      <c r="G119" t="inlineStr">
        <is>
          <t>GMEAN over the 7 apps (an app's inputs combined first, geometric) of the rows above</t>
        </is>
      </c>
      <c r="H119" t="inlineStr">
        <is>
          <t>accelsim-commit-2c3a333_modified_0.0 accelsim-commit-ac28769_modified_0.0 gpgpu-sim_git-commit-3f635b67_modified_0.0 gpgpu-sim_git-commit-7ed7810e_modified_0.0</t>
        </is>
      </c>
      <c r="I119">
        <f> 16.6 (D1_ceilings.md §5 PAPER_V100)</f>
        <v/>
      </c>
      <c r="J119" s="6" t="inlineStr">
        <is>
          <t>Verified (1B final run)</t>
        </is>
      </c>
      <c r="K119" t="inlineStr"/>
    </row>
    <row r="120">
      <c r="A120" t="inlineStr">
        <is>
          <t>value</t>
        </is>
      </c>
      <c r="B120" t="inlineStr">
        <is>
          <t>vs Snake paper</t>
        </is>
      </c>
      <c r="C120" t="inlineStr">
        <is>
          <t>7 apps: GMEAN (IPC) / mean (rates)</t>
        </is>
      </c>
      <c r="D120" t="inlineStr">
        <is>
          <t>L1 hit baseline</t>
        </is>
      </c>
      <c r="E120" s="14" t="n">
        <v>18.65529119152736</v>
      </c>
      <c r="F120" t="inlineStr">
        <is>
          <t>this sheet</t>
        </is>
      </c>
      <c r="G120" t="inlineStr">
        <is>
          <t>mean over the 7 apps (an app's inputs averaged first) of the rows above</t>
        </is>
      </c>
      <c r="H120" t="inlineStr">
        <is>
          <t>accelsim-commit-2c3a333_modified_0.0 accelsim-commit-ac28769_modified_0.0 gpgpu-sim_git-commit-3f635b67_modified_0.0 gpgpu-sim_git-commit-7ed7810e_modified_0.0</t>
        </is>
      </c>
      <c r="I120">
        <f> 18.7 (final_tier1.md §3)</f>
        <v/>
      </c>
      <c r="J120" s="6" t="inlineStr">
        <is>
          <t>Verified (1B final run)</t>
        </is>
      </c>
      <c r="K120" t="inlineStr"/>
    </row>
    <row r="121">
      <c r="A121" t="inlineStr">
        <is>
          <t>value</t>
        </is>
      </c>
      <c r="B121" t="inlineStr">
        <is>
          <t>vs Snake paper</t>
        </is>
      </c>
      <c r="C121" t="inlineStr">
        <is>
          <t>7 apps: GMEAN (IPC) / mean (rates)</t>
        </is>
      </c>
      <c r="D121" t="inlineStr">
        <is>
          <t>L1 hit Snake</t>
        </is>
      </c>
      <c r="E121" s="14" t="n">
        <v>25.15588403447518</v>
      </c>
      <c r="F121" t="inlineStr">
        <is>
          <t>this sheet</t>
        </is>
      </c>
      <c r="G121" t="inlineStr">
        <is>
          <t>mean over the 7 apps (an app's inputs averaged first) of the rows above</t>
        </is>
      </c>
      <c r="H121" t="inlineStr">
        <is>
          <t>accelsim-commit-2c3a333_modified_0.0 accelsim-commit-ac28769_modified_0.0 gpgpu-sim_git-commit-3f635b67_modified_0.0 gpgpu-sim_git-commit-7ed7810e_modified_0.0</t>
        </is>
      </c>
      <c r="I121">
        <f> 25.2 (final_tier1.md §3)</f>
        <v/>
      </c>
      <c r="J121" s="6" t="inlineStr">
        <is>
          <t>Verified (1B final run)</t>
        </is>
      </c>
      <c r="K121" t="inlineStr"/>
    </row>
    <row r="122">
      <c r="A122" t="inlineStr">
        <is>
          <t>value</t>
        </is>
      </c>
      <c r="B122" t="inlineStr">
        <is>
          <t>vs Snake paper</t>
        </is>
      </c>
      <c r="C122" t="inlineStr">
        <is>
          <t>7 apps: GMEAN (IPC) / mean (rates)</t>
        </is>
      </c>
      <c r="D122" t="inlineStr">
        <is>
          <t>paper L1 hit baseline (Fig. 25 avg)</t>
        </is>
      </c>
      <c r="E122" s="14" t="n">
        <v>45</v>
      </c>
      <c r="F122" t="inlineStr">
        <is>
          <t>docs/snake/SPEC.md §5 'Other reference points' (§5.7, Fig. 25)</t>
        </is>
      </c>
      <c r="G122" t="inlineStr">
        <is>
          <t>paper average over its 11 apps</t>
        </is>
      </c>
      <c r="H122" t="inlineStr"/>
      <c r="I122">
        <f> 45.0 (final_tier1.md §3)</f>
        <v/>
      </c>
      <c r="J122" s="6" t="inlineStr">
        <is>
          <t>Verified (1B final run)</t>
        </is>
      </c>
      <c r="K122" t="inlineStr"/>
    </row>
    <row r="123">
      <c r="A123" t="inlineStr">
        <is>
          <t>value</t>
        </is>
      </c>
      <c r="B123" t="inlineStr">
        <is>
          <t>vs Snake paper</t>
        </is>
      </c>
      <c r="C123" t="inlineStr">
        <is>
          <t>7 apps: GMEAN (IPC) / mean (rates)</t>
        </is>
      </c>
      <c r="D123" t="inlineStr">
        <is>
          <t>paper L1 hit Snake (Fig. 25 avg)</t>
        </is>
      </c>
      <c r="E123" s="14" t="n">
        <v>79</v>
      </c>
      <c r="F123" t="inlineStr">
        <is>
          <t>docs/snake/SPEC.md §5 'Other reference points' (§5.7, Fig. 25)</t>
        </is>
      </c>
      <c r="G123" t="inlineStr">
        <is>
          <t>paper average over its 11 apps</t>
        </is>
      </c>
      <c r="H123" t="inlineStr"/>
      <c r="I123">
        <f> 79.0 (final_tier1.md §3)</f>
        <v/>
      </c>
      <c r="J123" s="6" t="inlineStr">
        <is>
          <t>Verified (1B final run)</t>
        </is>
      </c>
      <c r="K123" t="inlineStr"/>
    </row>
    <row r="124">
      <c r="A124" t="inlineStr">
        <is>
          <t>value</t>
        </is>
      </c>
      <c r="B124" t="inlineStr">
        <is>
          <t>vs SnakeCharmer</t>
        </is>
      </c>
      <c r="C124" t="inlineStr">
        <is>
          <t>SnakeCharmer SK (A100) | 14 apps, A100 average</t>
        </is>
      </c>
      <c r="D124" t="inlineStr">
        <is>
          <t>workloads</t>
        </is>
      </c>
      <c r="E124" s="14" t="n">
        <v>14</v>
      </c>
      <c r="F124" t="inlineStr">
        <is>
          <t>docs/snake/results/SK_SC.md §4 (SnakeCharmer Fig. 12 AVG and Fig. 4, A100)</t>
        </is>
      </c>
      <c r="G124" t="inlineStr">
        <is>
          <t>number of apps in SnakeCharmer's average</t>
        </is>
      </c>
      <c r="H124" t="inlineStr"/>
      <c r="I124" t="inlineStr"/>
      <c r="J124" s="9" t="inlineStr">
        <is>
          <t>Published value</t>
        </is>
      </c>
      <c r="K124" t="inlineStr"/>
    </row>
    <row r="125">
      <c r="A125" t="inlineStr">
        <is>
          <t>value</t>
        </is>
      </c>
      <c r="B125" t="inlineStr">
        <is>
          <t>vs SnakeCharmer</t>
        </is>
      </c>
      <c r="C125" t="inlineStr">
        <is>
          <t>SnakeCharmer SK (A100) | 14 apps, A100 average</t>
        </is>
      </c>
      <c r="D125" t="inlineStr">
        <is>
          <t>coverage_sc, on-time only</t>
        </is>
      </c>
      <c r="E125" s="14" t="n">
        <v>11.5</v>
      </c>
      <c r="F125" t="inlineStr">
        <is>
          <t>docs/snake/results/SK_SC.md §4 (SnakeCharmer Fig. 12 AVG and Fig. 4, A100)</t>
        </is>
      </c>
      <c r="G125" t="inlineStr">
        <is>
          <t>SnakeCharmer coverage = H / (H + M)</t>
        </is>
      </c>
      <c r="H125" t="inlineStr"/>
      <c r="I125">
        <f> 11.5 (SK_match_qv100.md Means SnakeCharmer row)</f>
        <v/>
      </c>
      <c r="J125" s="9" t="inlineStr">
        <is>
          <t>Published value</t>
        </is>
      </c>
      <c r="K125" t="inlineStr"/>
    </row>
    <row r="126">
      <c r="A126" t="inlineStr">
        <is>
          <t>value</t>
        </is>
      </c>
      <c r="B126" t="inlineStr">
        <is>
          <t>vs SnakeCharmer</t>
        </is>
      </c>
      <c r="C126" t="inlineStr">
        <is>
          <t>SnakeCharmer SK (A100) | 14 apps, A100 average</t>
        </is>
      </c>
      <c r="D126" t="inlineStr">
        <is>
          <t>coverage_sc, incl. late</t>
        </is>
      </c>
      <c r="E126" t="inlineStr">
        <is>
          <t>n/a</t>
        </is>
      </c>
      <c r="F126" t="inlineStr">
        <is>
          <t>docs/snake/results/SK_SC.md §4 (SnakeCharmer Fig. 12 AVG and Fig. 4, A100)</t>
        </is>
      </c>
      <c r="G126" t="inlineStr">
        <is>
          <t>SnakeCharmer reports one coverage</t>
        </is>
      </c>
      <c r="H126" t="inlineStr"/>
      <c r="I126" t="inlineStr"/>
      <c r="J126" s="9" t="inlineStr">
        <is>
          <t>Published value</t>
        </is>
      </c>
      <c r="K126" t="inlineStr"/>
    </row>
    <row r="127">
      <c r="A127" t="inlineStr">
        <is>
          <t>value</t>
        </is>
      </c>
      <c r="B127" t="inlineStr">
        <is>
          <t>vs SnakeCharmer</t>
        </is>
      </c>
      <c r="C127" t="inlineStr">
        <is>
          <t>SnakeCharmer SK (A100) | 14 apps, A100 average</t>
        </is>
      </c>
      <c r="D127" t="inlineStr">
        <is>
          <t>accuracy_sc</t>
        </is>
      </c>
      <c r="E127" s="14" t="n">
        <v>23.1</v>
      </c>
      <c r="F127" t="inlineStr">
        <is>
          <t>docs/snake/results/SK_SC.md §4 (SnakeCharmer Fig. 12 AVG and Fig. 4, A100)</t>
        </is>
      </c>
      <c r="G127" t="inlineStr">
        <is>
          <t>SnakeCharmer accuracy</t>
        </is>
      </c>
      <c r="H127" t="inlineStr"/>
      <c r="I127">
        <f> 23.1 (SK_match_qv100.md Means SnakeCharmer row)</f>
        <v/>
      </c>
      <c r="J127" s="9" t="inlineStr">
        <is>
          <t>Published value</t>
        </is>
      </c>
      <c r="K127" t="inlineStr"/>
    </row>
    <row r="128">
      <c r="A128" t="inlineStr">
        <is>
          <t>value</t>
        </is>
      </c>
      <c r="B128" t="inlineStr">
        <is>
          <t>vs SnakeCharmer</t>
        </is>
      </c>
      <c r="C128" t="inlineStr">
        <is>
          <t>SnakeCharmer SK (A100) | 14 apps, A100 average</t>
        </is>
      </c>
      <c r="D128" t="inlineStr">
        <is>
          <t>on time</t>
        </is>
      </c>
      <c r="E128" s="14" t="n">
        <v>48.3</v>
      </c>
      <c r="F128" t="inlineStr">
        <is>
          <t>docs/snake/results/SK_SC.md §4 (SnakeCharmer Fig. 12 AVG and Fig. 4, A100)</t>
        </is>
      </c>
      <c r="G128" t="inlineStr">
        <is>
          <t>SnakeCharmer timeliness</t>
        </is>
      </c>
      <c r="H128" t="inlineStr"/>
      <c r="I128">
        <f> 48.3 (SK_match_qv100.md Means SnakeCharmer row)</f>
        <v/>
      </c>
      <c r="J128" s="9" t="inlineStr">
        <is>
          <t>Published value</t>
        </is>
      </c>
      <c r="K128" t="inlineStr"/>
    </row>
    <row r="129">
      <c r="A129" t="inlineStr">
        <is>
          <t>value</t>
        </is>
      </c>
      <c r="B129" t="inlineStr">
        <is>
          <t>vs SnakeCharmer</t>
        </is>
      </c>
      <c r="C129" t="inlineStr">
        <is>
          <t>SnakeCharmer SK (A100) | 14 apps, A100 average</t>
        </is>
      </c>
      <c r="D129" t="inlineStr">
        <is>
          <t>too early</t>
        </is>
      </c>
      <c r="E129" s="14" t="n">
        <v>28.7</v>
      </c>
      <c r="F129" t="inlineStr">
        <is>
          <t>docs/snake/results/SK_SC.md §4 (SnakeCharmer Fig. 12 AVG and Fig. 4, A100)</t>
        </is>
      </c>
      <c r="G129" t="inlineStr">
        <is>
          <t>SnakeCharmer timeliness</t>
        </is>
      </c>
      <c r="H129" t="inlineStr"/>
      <c r="I129">
        <f> 28.7 (SK_match_qv100.md Means SnakeCharmer row)</f>
        <v/>
      </c>
      <c r="J129" s="9" t="inlineStr">
        <is>
          <t>Published value</t>
        </is>
      </c>
      <c r="K129" t="inlineStr"/>
    </row>
    <row r="130">
      <c r="A130" t="inlineStr">
        <is>
          <t>value</t>
        </is>
      </c>
      <c r="B130" t="inlineStr">
        <is>
          <t>vs SnakeCharmer</t>
        </is>
      </c>
      <c r="C130" t="inlineStr">
        <is>
          <t>SnakeCharmer SK (A100) | 14 apps, A100 average</t>
        </is>
      </c>
      <c r="D130" t="inlineStr">
        <is>
          <t>too late</t>
        </is>
      </c>
      <c r="E130" s="14" t="n">
        <v>23</v>
      </c>
      <c r="F130" t="inlineStr">
        <is>
          <t>docs/snake/results/SK_SC.md §4 (SnakeCharmer Fig. 12 AVG and Fig. 4, A100)</t>
        </is>
      </c>
      <c r="G130" t="inlineStr">
        <is>
          <t>SnakeCharmer timeliness</t>
        </is>
      </c>
      <c r="H130" t="inlineStr"/>
      <c r="I130">
        <f> 23.0 (SK_match_qv100.md Means SnakeCharmer row)</f>
        <v/>
      </c>
      <c r="J130" s="9" t="inlineStr">
        <is>
          <t>Published value</t>
        </is>
      </c>
      <c r="K130" t="inlineStr"/>
    </row>
    <row r="131">
      <c r="A131" t="inlineStr">
        <is>
          <t>value</t>
        </is>
      </c>
      <c r="B131" t="inlineStr">
        <is>
          <t>vs SnakeCharmer</t>
        </is>
      </c>
      <c r="C131" t="inlineStr">
        <is>
          <t>SnakeCharmer SK (A100) | 14 apps, A100 average</t>
        </is>
      </c>
      <c r="D131" t="inlineStr">
        <is>
          <t>prefetch-induced eviction share</t>
        </is>
      </c>
      <c r="E131" s="14" t="n">
        <v>34</v>
      </c>
      <c r="F131" t="inlineStr">
        <is>
          <t>task brief (2026-10-27); not in our docs</t>
        </is>
      </c>
      <c r="G131" t="inlineStr">
        <is>
          <t>SnakeCharmer's prefetch-induced eviction share as given in the brief</t>
        </is>
      </c>
      <c r="H131" t="inlineStr"/>
      <c r="I131" t="inlineStr"/>
      <c r="J131" s="9" t="inlineStr">
        <is>
          <t>Published value</t>
        </is>
      </c>
      <c r="K131" t="inlineStr"/>
    </row>
    <row r="132">
      <c r="A132" t="inlineStr">
        <is>
          <t>value</t>
        </is>
      </c>
      <c r="B132" t="inlineStr">
        <is>
          <t>vs SnakeCharmer</t>
        </is>
      </c>
      <c r="C132" t="inlineStr">
        <is>
          <t>SnakeCharmer SK (A100) | 14 apps, A100 average</t>
        </is>
      </c>
      <c r="D132" t="inlineStr">
        <is>
          <t>IPC vs no prefetching (GMEAN)</t>
        </is>
      </c>
      <c r="E132" t="inlineStr">
        <is>
          <t>not reported</t>
        </is>
      </c>
      <c r="F132" t="inlineStr">
        <is>
          <t>docs/snake/results/SK_SC.md §5 heading</t>
        </is>
      </c>
      <c r="G132" t="inlineStr">
        <is>
          <t>SnakeCharmer reports no IPC for SK</t>
        </is>
      </c>
      <c r="H132" t="inlineStr"/>
      <c r="I132" t="inlineStr"/>
      <c r="J132" s="9" t="inlineStr">
        <is>
          <t>Published value</t>
        </is>
      </c>
      <c r="K132" t="inlineStr"/>
    </row>
    <row r="133">
      <c r="A133" t="inlineStr">
        <is>
          <t>value</t>
        </is>
      </c>
      <c r="B133" t="inlineStr">
        <is>
          <t>vs SnakeCharmer</t>
        </is>
      </c>
      <c r="C133" t="inlineStr">
        <is>
          <t>SK (reserve 8, decoupling on) | SnakeCharmer's 5 workloads</t>
        </is>
      </c>
      <c r="D133" t="inlineStr">
        <is>
          <t>workloads</t>
        </is>
      </c>
      <c r="E133" s="14" t="n">
        <v>5</v>
      </c>
      <c r="F133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33" t="inlineStr">
        <is>
          <t>workloads in the scope</t>
        </is>
      </c>
      <c r="H133" t="inlineStr"/>
      <c r="I133" t="inlineStr"/>
      <c r="J133" s="10" t="inlineStr">
        <is>
          <t>Preliminary (100M run)</t>
        </is>
      </c>
      <c r="K133" t="inlineStr"/>
    </row>
    <row r="134">
      <c r="A134" t="inlineStr">
        <is>
          <t>value</t>
        </is>
      </c>
      <c r="B134" t="inlineStr">
        <is>
          <t>vs SnakeCharmer</t>
        </is>
      </c>
      <c r="C134" t="inlineStr">
        <is>
          <t>SK (reserve 8, decoupling on) | SnakeCharmer's 5 workloads</t>
        </is>
      </c>
      <c r="D134" t="inlineStr">
        <is>
          <t>coverage_sc, on-time only</t>
        </is>
      </c>
      <c r="E134" s="14" t="n">
        <v>17.79644263341725</v>
      </c>
      <c r="F134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34" t="inlineStr">
        <is>
          <t>sc_ld_ontime / (sc_ld_ontime + sc_ld_late + sc_ld_miss) per workload; arithmetic mean over the 5 of 5 workloads with a value</t>
        </is>
      </c>
      <c r="H134" t="inlineStr">
        <is>
          <t>accelsim-commit-5d55de3_modified_0.0 gpgpu-sim_git-commit-9622012e_modified_0.0</t>
        </is>
      </c>
      <c r="I134">
        <f> 17.8 (SK_match_qv100.md Means)</f>
        <v/>
      </c>
      <c r="J134" s="10" t="inlineStr">
        <is>
          <t>Preliminary (100M run)</t>
        </is>
      </c>
      <c r="K134" t="inlineStr"/>
    </row>
    <row r="135">
      <c r="A135" t="inlineStr">
        <is>
          <t>value</t>
        </is>
      </c>
      <c r="B135" t="inlineStr">
        <is>
          <t>vs SnakeCharmer</t>
        </is>
      </c>
      <c r="C135" t="inlineStr">
        <is>
          <t>SK (reserve 8, decoupling on) | SnakeCharmer's 5 workloads</t>
        </is>
      </c>
      <c r="D135" t="inlineStr">
        <is>
          <t>coverage_sc, incl. late</t>
        </is>
      </c>
      <c r="E135" s="14" t="n">
        <v>23.59634301670091</v>
      </c>
      <c r="F135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35" t="inlineStr">
        <is>
          <t>(sc_ld_ontime + sc_ld_late) / (sc_ld_ontime + sc_ld_late + sc_ld_miss) per workload; arithmetic mean over the 5 of 5 workloads with a value</t>
        </is>
      </c>
      <c r="H135" t="inlineStr">
        <is>
          <t>accelsim-commit-5d55de3_modified_0.0 gpgpu-sim_git-commit-9622012e_modified_0.0</t>
        </is>
      </c>
      <c r="I135">
        <f> 23.6 (SK_match_qv100.md Means)</f>
        <v/>
      </c>
      <c r="J135" s="10" t="inlineStr">
        <is>
          <t>Preliminary (100M run)</t>
        </is>
      </c>
      <c r="K135" t="inlineStr"/>
    </row>
    <row r="136">
      <c r="A136" t="inlineStr">
        <is>
          <t>value</t>
        </is>
      </c>
      <c r="B136" t="inlineStr">
        <is>
          <t>vs SnakeCharmer</t>
        </is>
      </c>
      <c r="C136" t="inlineStr">
        <is>
          <t>SK (reserve 8, decoupling on) | SnakeCharmer's 5 workloads</t>
        </is>
      </c>
      <c r="D136" t="inlineStr">
        <is>
          <t>accuracy_sc</t>
        </is>
      </c>
      <c r="E136" s="14" t="n">
        <v>72.56450577547199</v>
      </c>
      <c r="F136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36" t="inlineStr">
        <is>
          <t>(sc_ld_ontime + sc_pf_fills - pf_filled) / sc_pf_fills per workload; arithmetic mean over the 5 of 5 workloads with a value</t>
        </is>
      </c>
      <c r="H136" t="inlineStr">
        <is>
          <t>accelsim-commit-5d55de3_modified_0.0 gpgpu-sim_git-commit-9622012e_modified_0.0</t>
        </is>
      </c>
      <c r="I136">
        <f> 72.6 (SK_match_qv100.md Means)</f>
        <v/>
      </c>
      <c r="J136" s="10" t="inlineStr">
        <is>
          <t>Preliminary (100M run)</t>
        </is>
      </c>
      <c r="K136" t="inlineStr"/>
    </row>
    <row r="137">
      <c r="A137" t="inlineStr">
        <is>
          <t>value</t>
        </is>
      </c>
      <c r="B137" t="inlineStr">
        <is>
          <t>vs SnakeCharmer</t>
        </is>
      </c>
      <c r="C137" t="inlineStr">
        <is>
          <t>SK (reserve 8, decoupling on) | SnakeCharmer's 5 workloads</t>
        </is>
      </c>
      <c r="D137" t="inlineStr">
        <is>
          <t>on time</t>
        </is>
      </c>
      <c r="E137" s="14" t="n">
        <v>42.17180620369719</v>
      </c>
      <c r="F137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37" t="inlineStr">
        <is>
          <t>sc_ld_ontime / (sc_ld_ontime + sc_ld_late + sc_ld_early) per workload; arithmetic mean over the 5 of 5 workloads with a value</t>
        </is>
      </c>
      <c r="H137" t="inlineStr">
        <is>
          <t>accelsim-commit-5d55de3_modified_0.0 gpgpu-sim_git-commit-9622012e_modified_0.0</t>
        </is>
      </c>
      <c r="I137">
        <f> 42.2 (SK_match_qv100.md Means)</f>
        <v/>
      </c>
      <c r="J137" s="10" t="inlineStr">
        <is>
          <t>Preliminary (100M run)</t>
        </is>
      </c>
      <c r="K137" t="inlineStr"/>
    </row>
    <row r="138">
      <c r="A138" t="inlineStr">
        <is>
          <t>value</t>
        </is>
      </c>
      <c r="B138" t="inlineStr">
        <is>
          <t>vs SnakeCharmer</t>
        </is>
      </c>
      <c r="C138" t="inlineStr">
        <is>
          <t>SK (reserve 8, decoupling on) | SnakeCharmer's 5 workloads</t>
        </is>
      </c>
      <c r="D138" t="inlineStr">
        <is>
          <t>too early</t>
        </is>
      </c>
      <c r="E138" s="14" t="n">
        <v>0.03327675048589853</v>
      </c>
      <c r="F138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38" t="inlineStr">
        <is>
          <t>sc_ld_early / (sc_ld_ontime + sc_ld_late + sc_ld_early) per workload; arithmetic mean over the 5 of 5 workloads with a value</t>
        </is>
      </c>
      <c r="H138" t="inlineStr">
        <is>
          <t>accelsim-commit-5d55de3_modified_0.0 gpgpu-sim_git-commit-9622012e_modified_0.0</t>
        </is>
      </c>
      <c r="I138">
        <f> 0.0 (SK_match_qv100.md Means)</f>
        <v/>
      </c>
      <c r="J138" s="10" t="inlineStr">
        <is>
          <t>Preliminary (100M run)</t>
        </is>
      </c>
      <c r="K138" t="inlineStr"/>
    </row>
    <row r="139">
      <c r="A139" t="inlineStr">
        <is>
          <t>value</t>
        </is>
      </c>
      <c r="B139" t="inlineStr">
        <is>
          <t>vs SnakeCharmer</t>
        </is>
      </c>
      <c r="C139" t="inlineStr">
        <is>
          <t>SK (reserve 8, decoupling on) | SnakeCharmer's 5 workloads</t>
        </is>
      </c>
      <c r="D139" t="inlineStr">
        <is>
          <t>too late</t>
        </is>
      </c>
      <c r="E139" s="14" t="n">
        <v>57.79491704581691</v>
      </c>
      <c r="F139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39" t="inlineStr">
        <is>
          <t>sc_ld_late / (sc_ld_ontime + sc_ld_late + sc_ld_early) per workload; arithmetic mean over the 5 of 5 workloads with a value</t>
        </is>
      </c>
      <c r="H139" t="inlineStr">
        <is>
          <t>accelsim-commit-5d55de3_modified_0.0 gpgpu-sim_git-commit-9622012e_modified_0.0</t>
        </is>
      </c>
      <c r="I139">
        <f> 57.8 (SK_match_qv100.md Means)</f>
        <v/>
      </c>
      <c r="J139" s="10" t="inlineStr">
        <is>
          <t>Preliminary (100M run)</t>
        </is>
      </c>
      <c r="K139" t="inlineStr"/>
    </row>
    <row r="140">
      <c r="A140" t="inlineStr">
        <is>
          <t>value</t>
        </is>
      </c>
      <c r="B140" t="inlineStr">
        <is>
          <t>vs SnakeCharmer</t>
        </is>
      </c>
      <c r="C140" t="inlineStr">
        <is>
          <t>SK (reserve 8, decoupling on) | SnakeCharmer's 5 workloads</t>
        </is>
      </c>
      <c r="D140" t="inlineStr">
        <is>
          <t>prefetch-induced eviction share</t>
        </is>
      </c>
      <c r="E140" s="14" t="n">
        <v>11.21042010631837</v>
      </c>
      <c r="F140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40" t="inlineStr">
        <is>
          <t>sc_victim_demand_by_pf / sc_victim_sectors per workload; arithmetic mean over the 3 of 5 workloads with a value</t>
        </is>
      </c>
      <c r="H140" t="inlineStr">
        <is>
          <t>accelsim-commit-5d55de3_modified_0.0 gpgpu-sim_git-commit-9622012e_modified_0.0</t>
        </is>
      </c>
      <c r="I140">
        <f> 11.2 (SK_match_qv100.md Means)</f>
        <v/>
      </c>
      <c r="J140" s="10" t="inlineStr">
        <is>
          <t>Preliminary (100M run)</t>
        </is>
      </c>
      <c r="K140" t="inlineStr"/>
    </row>
    <row r="141">
      <c r="A141" t="inlineStr">
        <is>
          <t>value</t>
        </is>
      </c>
      <c r="B141" t="inlineStr">
        <is>
          <t>vs SnakeCharmer</t>
        </is>
      </c>
      <c r="C141" t="inlineStr">
        <is>
          <t>SK (reserve 8, decoupling on) | SnakeCharmer's 5 workloads</t>
        </is>
      </c>
      <c r="D141" t="inlineStr">
        <is>
          <t>IPC vs no prefetching (GMEAN)</t>
        </is>
      </c>
      <c r="E141" s="14" t="n">
        <v>13.60154147769754</v>
      </c>
      <c r="F141" t="inlineStr">
        <is>
          <t>sim_run_snake_skm/qv100/runs/*/*/QV100-SASS-100M_INSN-SNAKE-SNAKE_FP1-SK_SC-SK_SC_CTA-SNAKE_HEAD64 (5 jobs); no prefetching: sim_run_snake_skc/qv100_7apps + sim_run_snake_skc/qv100_sc/runs/*/*/QV100-SASS-100M_INSN</t>
        </is>
      </c>
      <c r="G141" t="inlineStr">
        <is>
          <t>GMEAN over 5 workloads of gpu_tot_ipc SK / no prefetching - 1</t>
        </is>
      </c>
      <c r="H141" t="inlineStr">
        <is>
          <t>accelsim-commit-5d55de3_modified_0.0 gpgpu-sim_git-commit-9622012e_modified_0.0</t>
        </is>
      </c>
      <c r="I141">
        <f> 13.6 (SK_match_qv100.md Means)</f>
        <v/>
      </c>
      <c r="J141" s="10" t="inlineStr">
        <is>
          <t>Preliminary (100M run)</t>
        </is>
      </c>
      <c r="K141" t="inlineStr"/>
    </row>
    <row r="142">
      <c r="A142" t="inlineStr">
        <is>
          <t>value</t>
        </is>
      </c>
      <c r="B142" t="inlineStr">
        <is>
          <t>vs SnakeCharmer</t>
        </is>
      </c>
      <c r="C142" t="inlineStr">
        <is>
          <t>SK_R0 (reserve 0) | SnakeCharmer's 5 workloads</t>
        </is>
      </c>
      <c r="D142" t="inlineStr">
        <is>
          <t>workloads</t>
        </is>
      </c>
      <c r="E142" s="14" t="n">
        <v>5</v>
      </c>
      <c r="F142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42" t="inlineStr">
        <is>
          <t>workloads in the scope</t>
        </is>
      </c>
      <c r="H142" t="inlineStr"/>
      <c r="I142" t="inlineStr"/>
      <c r="J142" s="10" t="inlineStr">
        <is>
          <t>Preliminary (100M run)</t>
        </is>
      </c>
      <c r="K142" t="inlineStr"/>
    </row>
    <row r="143">
      <c r="A143" t="inlineStr">
        <is>
          <t>value</t>
        </is>
      </c>
      <c r="B143" t="inlineStr">
        <is>
          <t>vs SnakeCharmer</t>
        </is>
      </c>
      <c r="C143" t="inlineStr">
        <is>
          <t>SK_R0 (reserve 0) | SnakeCharmer's 5 workloads</t>
        </is>
      </c>
      <c r="D143" t="inlineStr">
        <is>
          <t>coverage_sc, on-time only</t>
        </is>
      </c>
      <c r="E143" s="14" t="n">
        <v>17.80302244060172</v>
      </c>
      <c r="F143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43" t="inlineStr">
        <is>
          <t>sc_ld_ontime / (sc_ld_ontime + sc_ld_late + sc_ld_miss) per workload; arithmetic mean over the 5 of 5 workloads with a value</t>
        </is>
      </c>
      <c r="H143" t="inlineStr">
        <is>
          <t>accelsim-commit-5d55de3_modified_0.0 gpgpu-sim_git-commit-9622012e_modified_0.0</t>
        </is>
      </c>
      <c r="I143">
        <f> 17.8 (SK_match_qv100.md Means)</f>
        <v/>
      </c>
      <c r="J143" s="10" t="inlineStr">
        <is>
          <t>Preliminary (100M run)</t>
        </is>
      </c>
      <c r="K143" t="inlineStr"/>
    </row>
    <row r="144">
      <c r="A144" t="inlineStr">
        <is>
          <t>value</t>
        </is>
      </c>
      <c r="B144" t="inlineStr">
        <is>
          <t>vs SnakeCharmer</t>
        </is>
      </c>
      <c r="C144" t="inlineStr">
        <is>
          <t>SK_R0 (reserve 0) | SnakeCharmer's 5 workloads</t>
        </is>
      </c>
      <c r="D144" t="inlineStr">
        <is>
          <t>coverage_sc, incl. late</t>
        </is>
      </c>
      <c r="E144" s="14" t="n">
        <v>25.02545802467804</v>
      </c>
      <c r="F144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44" t="inlineStr">
        <is>
          <t>(sc_ld_ontime + sc_ld_late) / (sc_ld_ontime + sc_ld_late + sc_ld_miss) per workload; arithmetic mean over the 5 of 5 workloads with a value</t>
        </is>
      </c>
      <c r="H144" t="inlineStr">
        <is>
          <t>accelsim-commit-5d55de3_modified_0.0 gpgpu-sim_git-commit-9622012e_modified_0.0</t>
        </is>
      </c>
      <c r="I144">
        <f> 25.0 (SK_match_qv100.md Means)</f>
        <v/>
      </c>
      <c r="J144" s="10" t="inlineStr">
        <is>
          <t>Preliminary (100M run)</t>
        </is>
      </c>
      <c r="K144" t="inlineStr"/>
    </row>
    <row r="145">
      <c r="A145" t="inlineStr">
        <is>
          <t>value</t>
        </is>
      </c>
      <c r="B145" t="inlineStr">
        <is>
          <t>vs SnakeCharmer</t>
        </is>
      </c>
      <c r="C145" t="inlineStr">
        <is>
          <t>SK_R0 (reserve 0) | SnakeCharmer's 5 workloads</t>
        </is>
      </c>
      <c r="D145" t="inlineStr">
        <is>
          <t>accuracy_sc</t>
        </is>
      </c>
      <c r="E145" s="14" t="n">
        <v>73.58356677075264</v>
      </c>
      <c r="F145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45" t="inlineStr">
        <is>
          <t>(sc_ld_ontime + sc_pf_fills - pf_filled) / sc_pf_fills per workload; arithmetic mean over the 5 of 5 workloads with a value</t>
        </is>
      </c>
      <c r="H145" t="inlineStr">
        <is>
          <t>accelsim-commit-5d55de3_modified_0.0 gpgpu-sim_git-commit-9622012e_modified_0.0</t>
        </is>
      </c>
      <c r="I145">
        <f> 73.6 (SK_match_qv100.md Means)</f>
        <v/>
      </c>
      <c r="J145" s="10" t="inlineStr">
        <is>
          <t>Preliminary (100M run)</t>
        </is>
      </c>
      <c r="K145" t="inlineStr"/>
    </row>
    <row r="146">
      <c r="A146" t="inlineStr">
        <is>
          <t>value</t>
        </is>
      </c>
      <c r="B146" t="inlineStr">
        <is>
          <t>vs SnakeCharmer</t>
        </is>
      </c>
      <c r="C146" t="inlineStr">
        <is>
          <t>SK_R0 (reserve 0) | SnakeCharmer's 5 workloads</t>
        </is>
      </c>
      <c r="D146" t="inlineStr">
        <is>
          <t>on time</t>
        </is>
      </c>
      <c r="E146" s="14" t="n">
        <v>40.32903645155695</v>
      </c>
      <c r="F146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46" t="inlineStr">
        <is>
          <t>sc_ld_ontime / (sc_ld_ontime + sc_ld_late + sc_ld_early) per workload; arithmetic mean over the 5 of 5 workloads with a value</t>
        </is>
      </c>
      <c r="H146" t="inlineStr">
        <is>
          <t>accelsim-commit-5d55de3_modified_0.0 gpgpu-sim_git-commit-9622012e_modified_0.0</t>
        </is>
      </c>
      <c r="I146">
        <f> 40.3 (SK_match_qv100.md Means)</f>
        <v/>
      </c>
      <c r="J146" s="10" t="inlineStr">
        <is>
          <t>Preliminary (100M run)</t>
        </is>
      </c>
      <c r="K146" t="inlineStr"/>
    </row>
    <row r="147">
      <c r="A147" t="inlineStr">
        <is>
          <t>value</t>
        </is>
      </c>
      <c r="B147" t="inlineStr">
        <is>
          <t>vs SnakeCharmer</t>
        </is>
      </c>
      <c r="C147" t="inlineStr">
        <is>
          <t>SK_R0 (reserve 0) | SnakeCharmer's 5 workloads</t>
        </is>
      </c>
      <c r="D147" t="inlineStr">
        <is>
          <t>too early</t>
        </is>
      </c>
      <c r="E147" s="14" t="n">
        <v>0.0351067580509248</v>
      </c>
      <c r="F147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47" t="inlineStr">
        <is>
          <t>sc_ld_early / (sc_ld_ontime + sc_ld_late + sc_ld_early) per workload; arithmetic mean over the 5 of 5 workloads with a value</t>
        </is>
      </c>
      <c r="H147" t="inlineStr">
        <is>
          <t>accelsim-commit-5d55de3_modified_0.0 gpgpu-sim_git-commit-9622012e_modified_0.0</t>
        </is>
      </c>
      <c r="I147">
        <f> 0.0 (SK_match_qv100.md Means)</f>
        <v/>
      </c>
      <c r="J147" s="10" t="inlineStr">
        <is>
          <t>Preliminary (100M run)</t>
        </is>
      </c>
      <c r="K147" t="inlineStr"/>
    </row>
    <row r="148">
      <c r="A148" t="inlineStr">
        <is>
          <t>value</t>
        </is>
      </c>
      <c r="B148" t="inlineStr">
        <is>
          <t>vs SnakeCharmer</t>
        </is>
      </c>
      <c r="C148" t="inlineStr">
        <is>
          <t>SK_R0 (reserve 0) | SnakeCharmer's 5 workloads</t>
        </is>
      </c>
      <c r="D148" t="inlineStr">
        <is>
          <t>too late</t>
        </is>
      </c>
      <c r="E148" s="14" t="n">
        <v>59.63585679039212</v>
      </c>
      <c r="F148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48" t="inlineStr">
        <is>
          <t>sc_ld_late / (sc_ld_ontime + sc_ld_late + sc_ld_early) per workload; arithmetic mean over the 5 of 5 workloads with a value</t>
        </is>
      </c>
      <c r="H148" t="inlineStr">
        <is>
          <t>accelsim-commit-5d55de3_modified_0.0 gpgpu-sim_git-commit-9622012e_modified_0.0</t>
        </is>
      </c>
      <c r="I148">
        <f> 59.6 (SK_match_qv100.md Means)</f>
        <v/>
      </c>
      <c r="J148" s="10" t="inlineStr">
        <is>
          <t>Preliminary (100M run)</t>
        </is>
      </c>
      <c r="K148" t="inlineStr"/>
    </row>
    <row r="149">
      <c r="A149" t="inlineStr">
        <is>
          <t>value</t>
        </is>
      </c>
      <c r="B149" t="inlineStr">
        <is>
          <t>vs SnakeCharmer</t>
        </is>
      </c>
      <c r="C149" t="inlineStr">
        <is>
          <t>SK_R0 (reserve 0) | SnakeCharmer's 5 workloads</t>
        </is>
      </c>
      <c r="D149" t="inlineStr">
        <is>
          <t>prefetch-induced eviction share</t>
        </is>
      </c>
      <c r="E149" s="14" t="n">
        <v>12.04720747810504</v>
      </c>
      <c r="F149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49" t="inlineStr">
        <is>
          <t>sc_victim_demand_by_pf / sc_victim_sectors per workload; arithmetic mean over the 3 of 5 workloads with a value</t>
        </is>
      </c>
      <c r="H149" t="inlineStr">
        <is>
          <t>accelsim-commit-5d55de3_modified_0.0 gpgpu-sim_git-commit-9622012e_modified_0.0</t>
        </is>
      </c>
      <c r="I149">
        <f> 12.0 (SK_match_qv100.md Means)</f>
        <v/>
      </c>
      <c r="J149" s="10" t="inlineStr">
        <is>
          <t>Preliminary (100M run)</t>
        </is>
      </c>
      <c r="K149" t="inlineStr"/>
    </row>
    <row r="150">
      <c r="A150" t="inlineStr">
        <is>
          <t>value</t>
        </is>
      </c>
      <c r="B150" t="inlineStr">
        <is>
          <t>vs SnakeCharmer</t>
        </is>
      </c>
      <c r="C150" t="inlineStr">
        <is>
          <t>SK_R0 (reserve 0) | SnakeCharmer's 5 workloads</t>
        </is>
      </c>
      <c r="D150" t="inlineStr">
        <is>
          <t>IPC vs no prefetching (GMEAN)</t>
        </is>
      </c>
      <c r="E150" s="14" t="n">
        <v>13.60970594430446</v>
      </c>
      <c r="F150" t="inlineStr">
        <is>
          <t>sim_run_snake_skm/qv100/runs/*/*/QV100-SASS-100M_INSN-SNAKE-SNAKE_FP1-SK_SC-SK_SC_CTA-SNAKE_HEAD64-SNAKE_MQR0 (5 jobs); no prefetching: sim_run_snake_skc/qv100_7apps + sim_run_snake_skc/qv100_sc/runs/*/*/QV100-SASS-100M_INSN</t>
        </is>
      </c>
      <c r="G150" t="inlineStr">
        <is>
          <t>GMEAN over 5 workloads of gpu_tot_ipc SK_R0 / no prefetching - 1</t>
        </is>
      </c>
      <c r="H150" t="inlineStr">
        <is>
          <t>accelsim-commit-5d55de3_modified_0.0 gpgpu-sim_git-commit-9622012e_modified_0.0</t>
        </is>
      </c>
      <c r="I150">
        <f> 13.61 (SK_match_qv100.md Means)</f>
        <v/>
      </c>
      <c r="J150" s="10" t="inlineStr">
        <is>
          <t>Preliminary (100M run)</t>
        </is>
      </c>
      <c r="K150" t="inlineStr"/>
    </row>
    <row r="151">
      <c r="A151" t="inlineStr">
        <is>
          <t>value</t>
        </is>
      </c>
      <c r="B151" t="inlineStr">
        <is>
          <t>vs SnakeCharmer</t>
        </is>
      </c>
      <c r="C151" t="inlineStr">
        <is>
          <t>SK_R0_D0 (reserve 0, decoupling off) | SnakeCharmer's 5 workloads</t>
        </is>
      </c>
      <c r="D151" t="inlineStr">
        <is>
          <t>workloads</t>
        </is>
      </c>
      <c r="E151" s="14" t="n">
        <v>5</v>
      </c>
      <c r="F151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1" t="inlineStr">
        <is>
          <t>workloads in the scope</t>
        </is>
      </c>
      <c r="H151" t="inlineStr"/>
      <c r="I151" t="inlineStr"/>
      <c r="J151" s="10" t="inlineStr">
        <is>
          <t>Preliminary (100M run)</t>
        </is>
      </c>
      <c r="K151" t="inlineStr"/>
    </row>
    <row r="152">
      <c r="A152" t="inlineStr">
        <is>
          <t>value</t>
        </is>
      </c>
      <c r="B152" t="inlineStr">
        <is>
          <t>vs SnakeCharmer</t>
        </is>
      </c>
      <c r="C152" t="inlineStr">
        <is>
          <t>SK_R0_D0 (reserve 0, decoupling off) | SnakeCharmer's 5 workloads</t>
        </is>
      </c>
      <c r="D152" t="inlineStr">
        <is>
          <t>coverage_sc, on-time only</t>
        </is>
      </c>
      <c r="E152" s="14" t="n">
        <v>17.75421651342958</v>
      </c>
      <c r="F152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2" t="inlineStr">
        <is>
          <t>sc_ld_ontime / (sc_ld_ontime + sc_ld_late + sc_ld_miss) per workload; arithmetic mean over the 5 of 5 workloads with a value</t>
        </is>
      </c>
      <c r="H152" t="inlineStr">
        <is>
          <t>accelsim-commit-5d55de3_modified_0.0 gpgpu-sim_git-commit-9622012e_modified_0.0</t>
        </is>
      </c>
      <c r="I152">
        <f> 17.8 (SK_match_qv100.md Means)</f>
        <v/>
      </c>
      <c r="J152" s="10" t="inlineStr">
        <is>
          <t>Preliminary (100M run)</t>
        </is>
      </c>
      <c r="K152" t="inlineStr"/>
    </row>
    <row r="153">
      <c r="A153" t="inlineStr">
        <is>
          <t>value</t>
        </is>
      </c>
      <c r="B153" t="inlineStr">
        <is>
          <t>vs SnakeCharmer</t>
        </is>
      </c>
      <c r="C153" t="inlineStr">
        <is>
          <t>SK_R0_D0 (reserve 0, decoupling off) | SnakeCharmer's 5 workloads</t>
        </is>
      </c>
      <c r="D153" t="inlineStr">
        <is>
          <t>coverage_sc, incl. late</t>
        </is>
      </c>
      <c r="E153" s="14" t="n">
        <v>24.24310253215138</v>
      </c>
      <c r="F153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3" t="inlineStr">
        <is>
          <t>(sc_ld_ontime + sc_ld_late) / (sc_ld_ontime + sc_ld_late + sc_ld_miss) per workload; arithmetic mean over the 5 of 5 workloads with a value</t>
        </is>
      </c>
      <c r="H153" t="inlineStr">
        <is>
          <t>accelsim-commit-5d55de3_modified_0.0 gpgpu-sim_git-commit-9622012e_modified_0.0</t>
        </is>
      </c>
      <c r="I153">
        <f> 24.2 (SK_match_qv100.md Means)</f>
        <v/>
      </c>
      <c r="J153" s="10" t="inlineStr">
        <is>
          <t>Preliminary (100M run)</t>
        </is>
      </c>
      <c r="K153" t="inlineStr"/>
    </row>
    <row r="154">
      <c r="A154" t="inlineStr">
        <is>
          <t>value</t>
        </is>
      </c>
      <c r="B154" t="inlineStr">
        <is>
          <t>vs SnakeCharmer</t>
        </is>
      </c>
      <c r="C154" t="inlineStr">
        <is>
          <t>SK_R0_D0 (reserve 0, decoupling off) | SnakeCharmer's 5 workloads</t>
        </is>
      </c>
      <c r="D154" t="inlineStr">
        <is>
          <t>accuracy_sc</t>
        </is>
      </c>
      <c r="E154" s="14" t="n">
        <v>72.90180313434946</v>
      </c>
      <c r="F154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4" t="inlineStr">
        <is>
          <t>(sc_ld_ontime + sc_pf_fills - pf_filled) / sc_pf_fills per workload; arithmetic mean over the 5 of 5 workloads with a value</t>
        </is>
      </c>
      <c r="H154" t="inlineStr">
        <is>
          <t>accelsim-commit-5d55de3_modified_0.0 gpgpu-sim_git-commit-9622012e_modified_0.0</t>
        </is>
      </c>
      <c r="I154">
        <f> 72.9 (SK_match_qv100.md Means)</f>
        <v/>
      </c>
      <c r="J154" s="10" t="inlineStr">
        <is>
          <t>Preliminary (100M run)</t>
        </is>
      </c>
      <c r="K154" t="inlineStr"/>
    </row>
    <row r="155">
      <c r="A155" t="inlineStr">
        <is>
          <t>value</t>
        </is>
      </c>
      <c r="B155" t="inlineStr">
        <is>
          <t>vs SnakeCharmer</t>
        </is>
      </c>
      <c r="C155" t="inlineStr">
        <is>
          <t>SK_R0_D0 (reserve 0, decoupling off) | SnakeCharmer's 5 workloads</t>
        </is>
      </c>
      <c r="D155" t="inlineStr">
        <is>
          <t>on time</t>
        </is>
      </c>
      <c r="E155" s="14" t="n">
        <v>40.66834756407025</v>
      </c>
      <c r="F155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5" t="inlineStr">
        <is>
          <t>sc_ld_ontime / (sc_ld_ontime + sc_ld_late + sc_ld_early) per workload; arithmetic mean over the 5 of 5 workloads with a value</t>
        </is>
      </c>
      <c r="H155" t="inlineStr">
        <is>
          <t>accelsim-commit-5d55de3_modified_0.0 gpgpu-sim_git-commit-9622012e_modified_0.0</t>
        </is>
      </c>
      <c r="I155">
        <f> 40.7 (SK_match_qv100.md Means)</f>
        <v/>
      </c>
      <c r="J155" s="10" t="inlineStr">
        <is>
          <t>Preliminary (100M run)</t>
        </is>
      </c>
      <c r="K155" t="inlineStr"/>
    </row>
    <row r="156">
      <c r="A156" t="inlineStr">
        <is>
          <t>value</t>
        </is>
      </c>
      <c r="B156" t="inlineStr">
        <is>
          <t>vs SnakeCharmer</t>
        </is>
      </c>
      <c r="C156" t="inlineStr">
        <is>
          <t>SK_R0_D0 (reserve 0, decoupling off) | SnakeCharmer's 5 workloads</t>
        </is>
      </c>
      <c r="D156" t="inlineStr">
        <is>
          <t>too early</t>
        </is>
      </c>
      <c r="E156" s="14" t="n">
        <v>0</v>
      </c>
      <c r="F156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6" t="inlineStr">
        <is>
          <t>sc_ld_early / (sc_ld_ontime + sc_ld_late + sc_ld_early) per workload; arithmetic mean over the 5 of 5 workloads with a value</t>
        </is>
      </c>
      <c r="H156" t="inlineStr">
        <is>
          <t>accelsim-commit-5d55de3_modified_0.0 gpgpu-sim_git-commit-9622012e_modified_0.0</t>
        </is>
      </c>
      <c r="I156">
        <f> 0.0 (SK_match_qv100.md Means)</f>
        <v/>
      </c>
      <c r="J156" s="10" t="inlineStr">
        <is>
          <t>Preliminary (100M run)</t>
        </is>
      </c>
      <c r="K156" t="inlineStr"/>
    </row>
    <row r="157">
      <c r="A157" t="inlineStr">
        <is>
          <t>value</t>
        </is>
      </c>
      <c r="B157" t="inlineStr">
        <is>
          <t>vs SnakeCharmer</t>
        </is>
      </c>
      <c r="C157" t="inlineStr">
        <is>
          <t>SK_R0_D0 (reserve 0, decoupling off) | SnakeCharmer's 5 workloads</t>
        </is>
      </c>
      <c r="D157" t="inlineStr">
        <is>
          <t>too late</t>
        </is>
      </c>
      <c r="E157" s="14" t="n">
        <v>59.33165243592975</v>
      </c>
      <c r="F157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7" t="inlineStr">
        <is>
          <t>sc_ld_late / (sc_ld_ontime + sc_ld_late + sc_ld_early) per workload; arithmetic mean over the 5 of 5 workloads with a value</t>
        </is>
      </c>
      <c r="H157" t="inlineStr">
        <is>
          <t>accelsim-commit-5d55de3_modified_0.0 gpgpu-sim_git-commit-9622012e_modified_0.0</t>
        </is>
      </c>
      <c r="I157">
        <f> 59.3 (SK_match_qv100.md Means)</f>
        <v/>
      </c>
      <c r="J157" s="10" t="inlineStr">
        <is>
          <t>Preliminary (100M run)</t>
        </is>
      </c>
      <c r="K157" t="inlineStr"/>
    </row>
    <row r="158">
      <c r="A158" t="inlineStr">
        <is>
          <t>value</t>
        </is>
      </c>
      <c r="B158" t="inlineStr">
        <is>
          <t>vs SnakeCharmer</t>
        </is>
      </c>
      <c r="C158" t="inlineStr">
        <is>
          <t>SK_R0_D0 (reserve 0, decoupling off) | SnakeCharmer's 5 workloads</t>
        </is>
      </c>
      <c r="D158" t="inlineStr">
        <is>
          <t>prefetch-induced eviction share</t>
        </is>
      </c>
      <c r="E158" s="14" t="n">
        <v>12.3310377112232</v>
      </c>
      <c r="F158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8" t="inlineStr">
        <is>
          <t>sc_victim_demand_by_pf / sc_victim_sectors per workload; arithmetic mean over the 2 of 5 workloads with a value</t>
        </is>
      </c>
      <c r="H158" t="inlineStr">
        <is>
          <t>accelsim-commit-5d55de3_modified_0.0 gpgpu-sim_git-commit-9622012e_modified_0.0</t>
        </is>
      </c>
      <c r="I158">
        <f> 12.3 (SK_match_qv100.md Means)</f>
        <v/>
      </c>
      <c r="J158" s="10" t="inlineStr">
        <is>
          <t>Preliminary (100M run)</t>
        </is>
      </c>
      <c r="K158" t="inlineStr"/>
    </row>
    <row r="159">
      <c r="A159" t="inlineStr">
        <is>
          <t>value</t>
        </is>
      </c>
      <c r="B159" t="inlineStr">
        <is>
          <t>vs SnakeCharmer</t>
        </is>
      </c>
      <c r="C159" t="inlineStr">
        <is>
          <t>SK_R0_D0 (reserve 0, decoupling off) | SnakeCharmer's 5 workloads</t>
        </is>
      </c>
      <c r="D159" t="inlineStr">
        <is>
          <t>IPC vs no prefetching (GMEAN)</t>
        </is>
      </c>
      <c r="E159" s="14" t="n">
        <v>13.95856546766812</v>
      </c>
      <c r="F159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159" t="inlineStr">
        <is>
          <t>GMEAN over 5 workloads of gpu_tot_ipc SK_R0_D0 / no prefetching - 1</t>
        </is>
      </c>
      <c r="H159" t="inlineStr">
        <is>
          <t>accelsim-commit-5d55de3_modified_0.0 gpgpu-sim_git-commit-9622012e_modified_0.0</t>
        </is>
      </c>
      <c r="I159">
        <f> 13.96 (SK_match_qv100.md Means)</f>
        <v/>
      </c>
      <c r="J159" s="10" t="inlineStr">
        <is>
          <t>Preliminary (100M run)</t>
        </is>
      </c>
      <c r="K159" t="inlineStr"/>
    </row>
    <row r="160">
      <c r="A160" t="inlineStr">
        <is>
          <t>value</t>
        </is>
      </c>
      <c r="B160" t="inlineStr">
        <is>
          <t>vs SnakeCharmer</t>
        </is>
      </c>
      <c r="C160" t="inlineStr">
        <is>
          <t>SK (reserve 8, decoupling on) | all 14 workloads</t>
        </is>
      </c>
      <c r="D160" t="inlineStr">
        <is>
          <t>workloads</t>
        </is>
      </c>
      <c r="E160" s="14" t="n">
        <v>14</v>
      </c>
      <c r="F160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0" t="inlineStr">
        <is>
          <t>workloads in the scope</t>
        </is>
      </c>
      <c r="H160" t="inlineStr"/>
      <c r="I160" t="inlineStr"/>
      <c r="J160" s="10" t="inlineStr">
        <is>
          <t>Preliminary (100M run)</t>
        </is>
      </c>
      <c r="K160" t="inlineStr"/>
    </row>
    <row r="161">
      <c r="A161" t="inlineStr">
        <is>
          <t>value</t>
        </is>
      </c>
      <c r="B161" t="inlineStr">
        <is>
          <t>vs SnakeCharmer</t>
        </is>
      </c>
      <c r="C161" t="inlineStr">
        <is>
          <t>SK (reserve 8, decoupling on) | all 14 workloads</t>
        </is>
      </c>
      <c r="D161" t="inlineStr">
        <is>
          <t>coverage_sc, on-time only</t>
        </is>
      </c>
      <c r="E161" s="14" t="n">
        <v>8.322278695927299</v>
      </c>
      <c r="F161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1" t="inlineStr">
        <is>
          <t>sc_ld_ontime / (sc_ld_ontime + sc_ld_late + sc_ld_miss) per workload; arithmetic mean over the 14 of 14 workloads with a value</t>
        </is>
      </c>
      <c r="H161" t="inlineStr">
        <is>
          <t>accelsim-commit-5d55de3_modified_0.0 gpgpu-sim_git-commit-9622012e_modified_0.0</t>
        </is>
      </c>
      <c r="I161">
        <f> 8.3 (SK_match_qv100.md Means)</f>
        <v/>
      </c>
      <c r="J161" s="10" t="inlineStr">
        <is>
          <t>Preliminary (100M run)</t>
        </is>
      </c>
      <c r="K161" t="inlineStr"/>
    </row>
    <row r="162">
      <c r="A162" t="inlineStr">
        <is>
          <t>value</t>
        </is>
      </c>
      <c r="B162" t="inlineStr">
        <is>
          <t>vs SnakeCharmer</t>
        </is>
      </c>
      <c r="C162" t="inlineStr">
        <is>
          <t>SK (reserve 8, decoupling on) | all 14 workloads</t>
        </is>
      </c>
      <c r="D162" t="inlineStr">
        <is>
          <t>coverage_sc, incl. late</t>
        </is>
      </c>
      <c r="E162" s="14" t="n">
        <v>20.37698682652098</v>
      </c>
      <c r="F162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2" t="inlineStr">
        <is>
          <t>(sc_ld_ontime + sc_ld_late) / (sc_ld_ontime + sc_ld_late + sc_ld_miss) per workload; arithmetic mean over the 14 of 14 workloads with a value</t>
        </is>
      </c>
      <c r="H162" t="inlineStr">
        <is>
          <t>accelsim-commit-5d55de3_modified_0.0 gpgpu-sim_git-commit-9622012e_modified_0.0</t>
        </is>
      </c>
      <c r="I162">
        <f> 20.4 (SK_match_qv100.md Means)</f>
        <v/>
      </c>
      <c r="J162" s="10" t="inlineStr">
        <is>
          <t>Preliminary (100M run)</t>
        </is>
      </c>
      <c r="K162" t="inlineStr"/>
    </row>
    <row r="163">
      <c r="A163" t="inlineStr">
        <is>
          <t>value</t>
        </is>
      </c>
      <c r="B163" t="inlineStr">
        <is>
          <t>vs SnakeCharmer</t>
        </is>
      </c>
      <c r="C163" t="inlineStr">
        <is>
          <t>SK (reserve 8, decoupling on) | all 14 workloads</t>
        </is>
      </c>
      <c r="D163" t="inlineStr">
        <is>
          <t>accuracy_sc</t>
        </is>
      </c>
      <c r="E163" s="14" t="n">
        <v>76.32798931135792</v>
      </c>
      <c r="F163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3" t="inlineStr">
        <is>
          <t>(sc_ld_ontime + sc_pf_fills - pf_filled) / sc_pf_fills per workload; arithmetic mean over the 13 of 14 workloads with a value</t>
        </is>
      </c>
      <c r="H163" t="inlineStr">
        <is>
          <t>accelsim-commit-5d55de3_modified_0.0 gpgpu-sim_git-commit-9622012e_modified_0.0</t>
        </is>
      </c>
      <c r="I163">
        <f> 76.3 (SK_match_qv100.md Means)</f>
        <v/>
      </c>
      <c r="J163" s="10" t="inlineStr">
        <is>
          <t>Preliminary (100M run)</t>
        </is>
      </c>
      <c r="K163" t="inlineStr"/>
    </row>
    <row r="164">
      <c r="A164" t="inlineStr">
        <is>
          <t>value</t>
        </is>
      </c>
      <c r="B164" t="inlineStr">
        <is>
          <t>vs SnakeCharmer</t>
        </is>
      </c>
      <c r="C164" t="inlineStr">
        <is>
          <t>SK (reserve 8, decoupling on) | all 14 workloads</t>
        </is>
      </c>
      <c r="D164" t="inlineStr">
        <is>
          <t>on time</t>
        </is>
      </c>
      <c r="E164" s="14" t="n">
        <v>21.89567690121887</v>
      </c>
      <c r="F164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4" t="inlineStr">
        <is>
          <t>sc_ld_ontime / (sc_ld_ontime + sc_ld_late + sc_ld_early) per workload; arithmetic mean over the 13 of 14 workloads with a value</t>
        </is>
      </c>
      <c r="H164" t="inlineStr">
        <is>
          <t>accelsim-commit-5d55de3_modified_0.0 gpgpu-sim_git-commit-9622012e_modified_0.0</t>
        </is>
      </c>
      <c r="I164">
        <f> 21.9 (SK_match_qv100.md Means)</f>
        <v/>
      </c>
      <c r="J164" s="10" t="inlineStr">
        <is>
          <t>Preliminary (100M run)</t>
        </is>
      </c>
      <c r="K164" t="inlineStr"/>
    </row>
    <row r="165">
      <c r="A165" t="inlineStr">
        <is>
          <t>value</t>
        </is>
      </c>
      <c r="B165" t="inlineStr">
        <is>
          <t>vs SnakeCharmer</t>
        </is>
      </c>
      <c r="C165" t="inlineStr">
        <is>
          <t>SK (reserve 8, decoupling on) | all 14 workloads</t>
        </is>
      </c>
      <c r="D165" t="inlineStr">
        <is>
          <t>too early</t>
        </is>
      </c>
      <c r="E165" s="14" t="n">
        <v>0.4062554488977712</v>
      </c>
      <c r="F165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5" t="inlineStr">
        <is>
          <t>sc_ld_early / (sc_ld_ontime + sc_ld_late + sc_ld_early) per workload; arithmetic mean over the 13 of 14 workloads with a value</t>
        </is>
      </c>
      <c r="H165" t="inlineStr">
        <is>
          <t>accelsim-commit-5d55de3_modified_0.0 gpgpu-sim_git-commit-9622012e_modified_0.0</t>
        </is>
      </c>
      <c r="I165">
        <f> 0.4 (SK_match_qv100.md Means)</f>
        <v/>
      </c>
      <c r="J165" s="10" t="inlineStr">
        <is>
          <t>Preliminary (100M run)</t>
        </is>
      </c>
      <c r="K165" t="inlineStr"/>
    </row>
    <row r="166">
      <c r="A166" t="inlineStr">
        <is>
          <t>value</t>
        </is>
      </c>
      <c r="B166" t="inlineStr">
        <is>
          <t>vs SnakeCharmer</t>
        </is>
      </c>
      <c r="C166" t="inlineStr">
        <is>
          <t>SK (reserve 8, decoupling on) | all 14 workloads</t>
        </is>
      </c>
      <c r="D166" t="inlineStr">
        <is>
          <t>too late</t>
        </is>
      </c>
      <c r="E166" s="14" t="n">
        <v>77.69806764988336</v>
      </c>
      <c r="F166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6" t="inlineStr">
        <is>
          <t>sc_ld_late / (sc_ld_ontime + sc_ld_late + sc_ld_early) per workload; arithmetic mean over the 13 of 14 workloads with a value</t>
        </is>
      </c>
      <c r="H166" t="inlineStr">
        <is>
          <t>accelsim-commit-5d55de3_modified_0.0 gpgpu-sim_git-commit-9622012e_modified_0.0</t>
        </is>
      </c>
      <c r="I166">
        <f> 77.7 (SK_match_qv100.md Means)</f>
        <v/>
      </c>
      <c r="J166" s="10" t="inlineStr">
        <is>
          <t>Preliminary (100M run)</t>
        </is>
      </c>
      <c r="K166" t="inlineStr"/>
    </row>
    <row r="167">
      <c r="A167" t="inlineStr">
        <is>
          <t>value</t>
        </is>
      </c>
      <c r="B167" t="inlineStr">
        <is>
          <t>vs SnakeCharmer</t>
        </is>
      </c>
      <c r="C167" t="inlineStr">
        <is>
          <t>SK (reserve 8, decoupling on) | all 14 workloads</t>
        </is>
      </c>
      <c r="D167" t="inlineStr">
        <is>
          <t>prefetch-induced eviction share</t>
        </is>
      </c>
      <c r="E167" s="14" t="n">
        <v>16.37222885466998</v>
      </c>
      <c r="F167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7" t="inlineStr">
        <is>
          <t>sc_victim_demand_by_pf / sc_victim_sectors per workload; arithmetic mean over the 9 of 14 workloads with a value</t>
        </is>
      </c>
      <c r="H167" t="inlineStr">
        <is>
          <t>accelsim-commit-5d55de3_modified_0.0 gpgpu-sim_git-commit-9622012e_modified_0.0</t>
        </is>
      </c>
      <c r="I167">
        <f> 16.4 (SK_match_qv100.md Means)</f>
        <v/>
      </c>
      <c r="J167" s="10" t="inlineStr">
        <is>
          <t>Preliminary (100M run)</t>
        </is>
      </c>
      <c r="K167" t="inlineStr"/>
    </row>
    <row r="168">
      <c r="A168" t="inlineStr">
        <is>
          <t>value</t>
        </is>
      </c>
      <c r="B168" t="inlineStr">
        <is>
          <t>vs SnakeCharmer</t>
        </is>
      </c>
      <c r="C168" t="inlineStr">
        <is>
          <t>SK (reserve 8, decoupling on) | all 14 workloads</t>
        </is>
      </c>
      <c r="D168" t="inlineStr">
        <is>
          <t>IPC vs no prefetching (GMEAN)</t>
        </is>
      </c>
      <c r="E168" s="14" t="n">
        <v>3.965543945371786</v>
      </c>
      <c r="F168" t="inlineStr">
        <is>
          <t>sim_run_snake_skm/qv100/runs/*/*/QV100-SASS-100M_INSN-SNAKE-SNAKE_FP1-SK_SC-SK_SC_CTA-SNAKE_HEAD64 (14 jobs); no prefetching: sim_run_snake_skc/qv100_7apps + sim_run_snake_skc/qv100_sc/runs/*/*/QV100-SASS-100M_INSN</t>
        </is>
      </c>
      <c r="G168" t="inlineStr">
        <is>
          <t>GMEAN over 14 workloads of gpu_tot_ipc SK / no prefetching - 1</t>
        </is>
      </c>
      <c r="H168" t="inlineStr">
        <is>
          <t>accelsim-commit-5d55de3_modified_0.0 gpgpu-sim_git-commit-9622012e_modified_0.0</t>
        </is>
      </c>
      <c r="I168">
        <f> 3.97 (SK_match_qv100.md Means)</f>
        <v/>
      </c>
      <c r="J168" s="10" t="inlineStr">
        <is>
          <t>Preliminary (100M run)</t>
        </is>
      </c>
      <c r="K168" t="inlineStr"/>
    </row>
    <row r="169">
      <c r="A169" t="inlineStr">
        <is>
          <t>value</t>
        </is>
      </c>
      <c r="B169" t="inlineStr">
        <is>
          <t>vs SnakeCharmer</t>
        </is>
      </c>
      <c r="C169" t="inlineStr">
        <is>
          <t>SK_R0 (reserve 0) | all 14 workloads</t>
        </is>
      </c>
      <c r="D169" t="inlineStr">
        <is>
          <t>workloads</t>
        </is>
      </c>
      <c r="E169" s="14" t="n">
        <v>14</v>
      </c>
      <c r="F169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69" t="inlineStr">
        <is>
          <t>workloads in the scope</t>
        </is>
      </c>
      <c r="H169" t="inlineStr"/>
      <c r="I169" t="inlineStr"/>
      <c r="J169" s="10" t="inlineStr">
        <is>
          <t>Preliminary (100M run)</t>
        </is>
      </c>
      <c r="K169" t="inlineStr"/>
    </row>
    <row r="170">
      <c r="A170" t="inlineStr">
        <is>
          <t>value</t>
        </is>
      </c>
      <c r="B170" t="inlineStr">
        <is>
          <t>vs SnakeCharmer</t>
        </is>
      </c>
      <c r="C170" t="inlineStr">
        <is>
          <t>SK_R0 (reserve 0) | all 14 workloads</t>
        </is>
      </c>
      <c r="D170" t="inlineStr">
        <is>
          <t>coverage_sc, on-time only</t>
        </is>
      </c>
      <c r="E170" s="14" t="n">
        <v>8.328630288451416</v>
      </c>
      <c r="F170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70" t="inlineStr">
        <is>
          <t>sc_ld_ontime / (sc_ld_ontime + sc_ld_late + sc_ld_miss) per workload; arithmetic mean over the 14 of 14 workloads with a value</t>
        </is>
      </c>
      <c r="H170" t="inlineStr">
        <is>
          <t>accelsim-commit-5d55de3_modified_0.0 gpgpu-sim_git-commit-9622012e_modified_0.0</t>
        </is>
      </c>
      <c r="I170">
        <f> 8.3 (SK_match_qv100.md Means)</f>
        <v/>
      </c>
      <c r="J170" s="10" t="inlineStr">
        <is>
          <t>Preliminary (100M run)</t>
        </is>
      </c>
      <c r="K170" t="inlineStr"/>
    </row>
    <row r="171">
      <c r="A171" t="inlineStr">
        <is>
          <t>value</t>
        </is>
      </c>
      <c r="B171" t="inlineStr">
        <is>
          <t>vs SnakeCharmer</t>
        </is>
      </c>
      <c r="C171" t="inlineStr">
        <is>
          <t>SK_R0 (reserve 0) | all 14 workloads</t>
        </is>
      </c>
      <c r="D171" t="inlineStr">
        <is>
          <t>coverage_sc, incl. late</t>
        </is>
      </c>
      <c r="E171" s="14" t="n">
        <v>22.32505779536441</v>
      </c>
      <c r="F171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71" t="inlineStr">
        <is>
          <t>(sc_ld_ontime + sc_ld_late) / (sc_ld_ontime + sc_ld_late + sc_ld_miss) per workload; arithmetic mean over the 14 of 14 workloads with a value</t>
        </is>
      </c>
      <c r="H171" t="inlineStr">
        <is>
          <t>accelsim-commit-5d55de3_modified_0.0 gpgpu-sim_git-commit-9622012e_modified_0.0</t>
        </is>
      </c>
      <c r="I171">
        <f> 22.3 (SK_match_qv100.md Means)</f>
        <v/>
      </c>
      <c r="J171" s="10" t="inlineStr">
        <is>
          <t>Preliminary (100M run)</t>
        </is>
      </c>
      <c r="K171" t="inlineStr"/>
    </row>
    <row r="172">
      <c r="A172" t="inlineStr">
        <is>
          <t>value</t>
        </is>
      </c>
      <c r="B172" t="inlineStr">
        <is>
          <t>vs SnakeCharmer</t>
        </is>
      </c>
      <c r="C172" t="inlineStr">
        <is>
          <t>SK_R0 (reserve 0) | all 14 workloads</t>
        </is>
      </c>
      <c r="D172" t="inlineStr">
        <is>
          <t>accuracy_sc</t>
        </is>
      </c>
      <c r="E172" s="14" t="n">
        <v>76.37068704256023</v>
      </c>
      <c r="F172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72" t="inlineStr">
        <is>
          <t>(sc_ld_ontime + sc_pf_fills - pf_filled) / sc_pf_fills per workload; arithmetic mean over the 13 of 14 workloads with a value</t>
        </is>
      </c>
      <c r="H172" t="inlineStr">
        <is>
          <t>accelsim-commit-5d55de3_modified_0.0 gpgpu-sim_git-commit-9622012e_modified_0.0</t>
        </is>
      </c>
      <c r="I172">
        <f> 76.4 (SK_match_qv100.md Means)</f>
        <v/>
      </c>
      <c r="J172" s="10" t="inlineStr">
        <is>
          <t>Preliminary (100M run)</t>
        </is>
      </c>
      <c r="K172" t="inlineStr"/>
    </row>
    <row r="173">
      <c r="A173" t="inlineStr">
        <is>
          <t>value</t>
        </is>
      </c>
      <c r="B173" t="inlineStr">
        <is>
          <t>vs SnakeCharmer</t>
        </is>
      </c>
      <c r="C173" t="inlineStr">
        <is>
          <t>SK_R0 (reserve 0) | all 14 workloads</t>
        </is>
      </c>
      <c r="D173" t="inlineStr">
        <is>
          <t>on time</t>
        </is>
      </c>
      <c r="E173" s="14" t="n">
        <v>20.79575266314838</v>
      </c>
      <c r="F173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73" t="inlineStr">
        <is>
          <t>sc_ld_ontime / (sc_ld_ontime + sc_ld_late + sc_ld_early) per workload; arithmetic mean over the 13 of 14 workloads with a value</t>
        </is>
      </c>
      <c r="H173" t="inlineStr">
        <is>
          <t>accelsim-commit-5d55de3_modified_0.0 gpgpu-sim_git-commit-9622012e_modified_0.0</t>
        </is>
      </c>
      <c r="I173">
        <f> 20.8 (SK_match_qv100.md Means)</f>
        <v/>
      </c>
      <c r="J173" s="10" t="inlineStr">
        <is>
          <t>Preliminary (100M run)</t>
        </is>
      </c>
      <c r="K173" t="inlineStr"/>
    </row>
    <row r="174">
      <c r="A174" t="inlineStr">
        <is>
          <t>value</t>
        </is>
      </c>
      <c r="B174" t="inlineStr">
        <is>
          <t>vs SnakeCharmer</t>
        </is>
      </c>
      <c r="C174" t="inlineStr">
        <is>
          <t>SK_R0 (reserve 0) | all 14 workloads</t>
        </is>
      </c>
      <c r="D174" t="inlineStr">
        <is>
          <t>too early</t>
        </is>
      </c>
      <c r="E174" s="14" t="n">
        <v>0.4246706884965621</v>
      </c>
      <c r="F174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74" t="inlineStr">
        <is>
          <t>sc_ld_early / (sc_ld_ontime + sc_ld_late + sc_ld_early) per workload; arithmetic mean over the 13 of 14 workloads with a value</t>
        </is>
      </c>
      <c r="H174" t="inlineStr">
        <is>
          <t>accelsim-commit-5d55de3_modified_0.0 gpgpu-sim_git-commit-9622012e_modified_0.0</t>
        </is>
      </c>
      <c r="I174">
        <f> 0.4 (SK_match_qv100.md Means)</f>
        <v/>
      </c>
      <c r="J174" s="10" t="inlineStr">
        <is>
          <t>Preliminary (100M run)</t>
        </is>
      </c>
      <c r="K174" t="inlineStr"/>
    </row>
    <row r="175">
      <c r="A175" t="inlineStr">
        <is>
          <t>value</t>
        </is>
      </c>
      <c r="B175" t="inlineStr">
        <is>
          <t>vs SnakeCharmer</t>
        </is>
      </c>
      <c r="C175" t="inlineStr">
        <is>
          <t>SK_R0 (reserve 0) | all 14 workloads</t>
        </is>
      </c>
      <c r="D175" t="inlineStr">
        <is>
          <t>too late</t>
        </is>
      </c>
      <c r="E175" s="14" t="n">
        <v>78.77957664835506</v>
      </c>
      <c r="F175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75" t="inlineStr">
        <is>
          <t>sc_ld_late / (sc_ld_ontime + sc_ld_late + sc_ld_early) per workload; arithmetic mean over the 13 of 14 workloads with a value</t>
        </is>
      </c>
      <c r="H175" t="inlineStr">
        <is>
          <t>accelsim-commit-5d55de3_modified_0.0 gpgpu-sim_git-commit-9622012e_modified_0.0</t>
        </is>
      </c>
      <c r="I175">
        <f> 78.8 (SK_match_qv100.md Means)</f>
        <v/>
      </c>
      <c r="J175" s="10" t="inlineStr">
        <is>
          <t>Preliminary (100M run)</t>
        </is>
      </c>
      <c r="K175" t="inlineStr"/>
    </row>
    <row r="176">
      <c r="A176" t="inlineStr">
        <is>
          <t>value</t>
        </is>
      </c>
      <c r="B176" t="inlineStr">
        <is>
          <t>vs SnakeCharmer</t>
        </is>
      </c>
      <c r="C176" t="inlineStr">
        <is>
          <t>SK_R0 (reserve 0) | all 14 workloads</t>
        </is>
      </c>
      <c r="D176" t="inlineStr">
        <is>
          <t>prefetch-induced eviction share</t>
        </is>
      </c>
      <c r="E176" s="14" t="n">
        <v>16.09419053387158</v>
      </c>
      <c r="F176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76" t="inlineStr">
        <is>
          <t>sc_victim_demand_by_pf / sc_victim_sectors per workload; arithmetic mean over the 9 of 14 workloads with a value</t>
        </is>
      </c>
      <c r="H176" t="inlineStr">
        <is>
          <t>accelsim-commit-5d55de3_modified_0.0 gpgpu-sim_git-commit-9622012e_modified_0.0</t>
        </is>
      </c>
      <c r="I176">
        <f> 16.1 (SK_match_qv100.md Means)</f>
        <v/>
      </c>
      <c r="J176" s="10" t="inlineStr">
        <is>
          <t>Preliminary (100M run)</t>
        </is>
      </c>
      <c r="K176" t="inlineStr"/>
    </row>
    <row r="177">
      <c r="A177" t="inlineStr">
        <is>
          <t>value</t>
        </is>
      </c>
      <c r="B177" t="inlineStr">
        <is>
          <t>vs SnakeCharmer</t>
        </is>
      </c>
      <c r="C177" t="inlineStr">
        <is>
          <t>SK_R0 (reserve 0) | all 14 workloads</t>
        </is>
      </c>
      <c r="D177" t="inlineStr">
        <is>
          <t>IPC vs no prefetching (GMEAN)</t>
        </is>
      </c>
      <c r="E177" s="14" t="n">
        <v>3.711443874095721</v>
      </c>
      <c r="F177" t="inlineStr">
        <is>
          <t>sim_run_snake_skm/qv100/runs/*/*/QV100-SASS-100M_INSN-SNAKE-SNAKE_FP1-SK_SC-SK_SC_CTA-SNAKE_HEAD64-SNAKE_MQR0 (14 jobs); no prefetching: sim_run_snake_skc/qv100_7apps + sim_run_snake_skc/qv100_sc/runs/*/*/QV100-SASS-100M_INSN</t>
        </is>
      </c>
      <c r="G177" t="inlineStr">
        <is>
          <t>GMEAN over 14 workloads of gpu_tot_ipc SK_R0 / no prefetching - 1</t>
        </is>
      </c>
      <c r="H177" t="inlineStr">
        <is>
          <t>accelsim-commit-5d55de3_modified_0.0 gpgpu-sim_git-commit-9622012e_modified_0.0</t>
        </is>
      </c>
      <c r="I177">
        <f> 3.71 (SK_match_qv100.md Means)</f>
        <v/>
      </c>
      <c r="J177" s="10" t="inlineStr">
        <is>
          <t>Preliminary (100M run)</t>
        </is>
      </c>
      <c r="K177" t="inlineStr"/>
    </row>
    <row r="178">
      <c r="A178" t="inlineStr">
        <is>
          <t>value</t>
        </is>
      </c>
      <c r="B178" t="inlineStr">
        <is>
          <t>vs SnakeCharmer</t>
        </is>
      </c>
      <c r="C178" t="inlineStr">
        <is>
          <t>SK_R0_D0 (reserve 0, decoupling off) | all 14 workloads</t>
        </is>
      </c>
      <c r="D178" t="inlineStr">
        <is>
          <t>workloads</t>
        </is>
      </c>
      <c r="E178" s="14" t="n">
        <v>14</v>
      </c>
      <c r="F178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78" t="inlineStr">
        <is>
          <t>workloads in the scope</t>
        </is>
      </c>
      <c r="H178" t="inlineStr"/>
      <c r="I178" t="inlineStr"/>
      <c r="J178" s="10" t="inlineStr">
        <is>
          <t>Preliminary (100M run)</t>
        </is>
      </c>
      <c r="K178" t="inlineStr"/>
    </row>
    <row r="179">
      <c r="A179" t="inlineStr">
        <is>
          <t>value</t>
        </is>
      </c>
      <c r="B179" t="inlineStr">
        <is>
          <t>vs SnakeCharmer</t>
        </is>
      </c>
      <c r="C179" t="inlineStr">
        <is>
          <t>SK_R0_D0 (reserve 0, decoupling off) | all 14 workloads</t>
        </is>
      </c>
      <c r="D179" t="inlineStr">
        <is>
          <t>coverage_sc, on-time only</t>
        </is>
      </c>
      <c r="E179" s="14" t="n">
        <v>7.118496665583455</v>
      </c>
      <c r="F179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79" t="inlineStr">
        <is>
          <t>sc_ld_ontime / (sc_ld_ontime + sc_ld_late + sc_ld_miss) per workload; arithmetic mean over the 14 of 14 workloads with a value</t>
        </is>
      </c>
      <c r="H179" t="inlineStr">
        <is>
          <t>accelsim-commit-5d55de3_modified_0.0 gpgpu-sim_git-commit-9622012e_modified_0.0</t>
        </is>
      </c>
      <c r="I179">
        <f> 7.1 (SK_match_qv100.md Means)</f>
        <v/>
      </c>
      <c r="J179" s="10" t="inlineStr">
        <is>
          <t>Preliminary (100M run)</t>
        </is>
      </c>
      <c r="K179" t="inlineStr"/>
    </row>
    <row r="180">
      <c r="A180" t="inlineStr">
        <is>
          <t>value</t>
        </is>
      </c>
      <c r="B180" t="inlineStr">
        <is>
          <t>vs SnakeCharmer</t>
        </is>
      </c>
      <c r="C180" t="inlineStr">
        <is>
          <t>SK_R0_D0 (reserve 0, decoupling off) | all 14 workloads</t>
        </is>
      </c>
      <c r="D180" t="inlineStr">
        <is>
          <t>coverage_sc, incl. late</t>
        </is>
      </c>
      <c r="E180" s="14" t="n">
        <v>17.95375357841916</v>
      </c>
      <c r="F180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80" t="inlineStr">
        <is>
          <t>(sc_ld_ontime + sc_ld_late) / (sc_ld_ontime + sc_ld_late + sc_ld_miss) per workload; arithmetic mean over the 14 of 14 workloads with a value</t>
        </is>
      </c>
      <c r="H180" t="inlineStr">
        <is>
          <t>accelsim-commit-5d55de3_modified_0.0 gpgpu-sim_git-commit-9622012e_modified_0.0</t>
        </is>
      </c>
      <c r="I180">
        <f> 18.0 (SK_match_qv100.md Means)</f>
        <v/>
      </c>
      <c r="J180" s="10" t="inlineStr">
        <is>
          <t>Preliminary (100M run)</t>
        </is>
      </c>
      <c r="K180" t="inlineStr"/>
    </row>
    <row r="181">
      <c r="A181" t="inlineStr">
        <is>
          <t>value</t>
        </is>
      </c>
      <c r="B181" t="inlineStr">
        <is>
          <t>vs SnakeCharmer</t>
        </is>
      </c>
      <c r="C181" t="inlineStr">
        <is>
          <t>SK_R0_D0 (reserve 0, decoupling off) | all 14 workloads</t>
        </is>
      </c>
      <c r="D181" t="inlineStr">
        <is>
          <t>accuracy_sc</t>
        </is>
      </c>
      <c r="E181" s="14" t="n">
        <v>75.52177799624332</v>
      </c>
      <c r="F181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81" t="inlineStr">
        <is>
          <t>(sc_ld_ontime + sc_pf_fills - pf_filled) / sc_pf_fills per workload; arithmetic mean over the 13 of 14 workloads with a value</t>
        </is>
      </c>
      <c r="H181" t="inlineStr">
        <is>
          <t>accelsim-commit-5d55de3_modified_0.0 gpgpu-sim_git-commit-9622012e_modified_0.0</t>
        </is>
      </c>
      <c r="I181">
        <f> 75.5 (SK_match_qv100.md Means)</f>
        <v/>
      </c>
      <c r="J181" s="10" t="inlineStr">
        <is>
          <t>Preliminary (100M run)</t>
        </is>
      </c>
      <c r="K181" t="inlineStr"/>
    </row>
    <row r="182">
      <c r="A182" t="inlineStr">
        <is>
          <t>value</t>
        </is>
      </c>
      <c r="B182" t="inlineStr">
        <is>
          <t>vs SnakeCharmer</t>
        </is>
      </c>
      <c r="C182" t="inlineStr">
        <is>
          <t>SK_R0_D0 (reserve 0, decoupling off) | all 14 workloads</t>
        </is>
      </c>
      <c r="D182" t="inlineStr">
        <is>
          <t>on time</t>
        </is>
      </c>
      <c r="E182" s="14" t="n">
        <v>19.95292943424742</v>
      </c>
      <c r="F182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82" t="inlineStr">
        <is>
          <t>sc_ld_ontime / (sc_ld_ontime + sc_ld_late + sc_ld_early) per workload; arithmetic mean over the 13 of 14 workloads with a value</t>
        </is>
      </c>
      <c r="H182" t="inlineStr">
        <is>
          <t>accelsim-commit-5d55de3_modified_0.0 gpgpu-sim_git-commit-9622012e_modified_0.0</t>
        </is>
      </c>
      <c r="I182">
        <f> 20.0 (SK_match_qv100.md Means)</f>
        <v/>
      </c>
      <c r="J182" s="10" t="inlineStr">
        <is>
          <t>Preliminary (100M run)</t>
        </is>
      </c>
      <c r="K182" t="inlineStr"/>
    </row>
    <row r="183">
      <c r="A183" t="inlineStr">
        <is>
          <t>value</t>
        </is>
      </c>
      <c r="B183" t="inlineStr">
        <is>
          <t>vs SnakeCharmer</t>
        </is>
      </c>
      <c r="C183" t="inlineStr">
        <is>
          <t>SK_R0_D0 (reserve 0, decoupling off) | all 14 workloads</t>
        </is>
      </c>
      <c r="D183" t="inlineStr">
        <is>
          <t>too early</t>
        </is>
      </c>
      <c r="E183" s="14" t="n">
        <v>0.02131287297527707</v>
      </c>
      <c r="F183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83" t="inlineStr">
        <is>
          <t>sc_ld_early / (sc_ld_ontime + sc_ld_late + sc_ld_early) per workload; arithmetic mean over the 13 of 14 workloads with a value</t>
        </is>
      </c>
      <c r="H183" t="inlineStr">
        <is>
          <t>accelsim-commit-5d55de3_modified_0.0 gpgpu-sim_git-commit-9622012e_modified_0.0</t>
        </is>
      </c>
      <c r="I183">
        <f> 0.0 (SK_match_qv100.md Means)</f>
        <v/>
      </c>
      <c r="J183" s="10" t="inlineStr">
        <is>
          <t>Preliminary (100M run)</t>
        </is>
      </c>
      <c r="K183" t="inlineStr"/>
    </row>
    <row r="184">
      <c r="A184" t="inlineStr">
        <is>
          <t>value</t>
        </is>
      </c>
      <c r="B184" t="inlineStr">
        <is>
          <t>vs SnakeCharmer</t>
        </is>
      </c>
      <c r="C184" t="inlineStr">
        <is>
          <t>SK_R0_D0 (reserve 0, decoupling off) | all 14 workloads</t>
        </is>
      </c>
      <c r="D184" t="inlineStr">
        <is>
          <t>too late</t>
        </is>
      </c>
      <c r="E184" s="14" t="n">
        <v>80.0257576927773</v>
      </c>
      <c r="F184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84" t="inlineStr">
        <is>
          <t>sc_ld_late / (sc_ld_ontime + sc_ld_late + sc_ld_early) per workload; arithmetic mean over the 13 of 14 workloads with a value</t>
        </is>
      </c>
      <c r="H184" t="inlineStr">
        <is>
          <t>accelsim-commit-5d55de3_modified_0.0 gpgpu-sim_git-commit-9622012e_modified_0.0</t>
        </is>
      </c>
      <c r="I184">
        <f> 80.0 (SK_match_qv100.md Means)</f>
        <v/>
      </c>
      <c r="J184" s="10" t="inlineStr">
        <is>
          <t>Preliminary (100M run)</t>
        </is>
      </c>
      <c r="K184" t="inlineStr"/>
    </row>
    <row r="185">
      <c r="A185" t="inlineStr">
        <is>
          <t>value</t>
        </is>
      </c>
      <c r="B185" t="inlineStr">
        <is>
          <t>vs SnakeCharmer</t>
        </is>
      </c>
      <c r="C185" t="inlineStr">
        <is>
          <t>SK_R0_D0 (reserve 0, decoupling off) | all 14 workloads</t>
        </is>
      </c>
      <c r="D185" t="inlineStr">
        <is>
          <t>prefetch-induced eviction share</t>
        </is>
      </c>
      <c r="E185" s="14" t="n">
        <v>10.72473585728141</v>
      </c>
      <c r="F185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85" t="inlineStr">
        <is>
          <t>sc_victim_demand_by_pf / sc_victim_sectors per workload; arithmetic mean over the 7 of 14 workloads with a value</t>
        </is>
      </c>
      <c r="H185" t="inlineStr">
        <is>
          <t>accelsim-commit-5d55de3_modified_0.0 gpgpu-sim_git-commit-9622012e_modified_0.0</t>
        </is>
      </c>
      <c r="I185">
        <f> 10.7 (SK_match_qv100.md Means)</f>
        <v/>
      </c>
      <c r="J185" s="10" t="inlineStr">
        <is>
          <t>Preliminary (100M run)</t>
        </is>
      </c>
      <c r="K185" t="inlineStr"/>
    </row>
    <row r="186">
      <c r="A186" t="inlineStr">
        <is>
          <t>value</t>
        </is>
      </c>
      <c r="B186" t="inlineStr">
        <is>
          <t>vs SnakeCharmer</t>
        </is>
      </c>
      <c r="C186" t="inlineStr">
        <is>
          <t>SK_R0_D0 (reserve 0, decoupling off) | all 14 workloads</t>
        </is>
      </c>
      <c r="D186" t="inlineStr">
        <is>
          <t>IPC vs no prefetching (GMEAN)</t>
        </is>
      </c>
      <c r="E186" s="14" t="n">
        <v>4.774931215940614</v>
      </c>
      <c r="F186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186" t="inlineStr">
        <is>
          <t>GMEAN over 14 workloads of gpu_tot_ipc SK_R0_D0 / no prefetching - 1</t>
        </is>
      </c>
      <c r="H186" t="inlineStr">
        <is>
          <t>accelsim-commit-5d55de3_modified_0.0 gpgpu-sim_git-commit-9622012e_modified_0.0</t>
        </is>
      </c>
      <c r="I186">
        <f> 4.77 (SK_match_qv100.md Means)</f>
        <v/>
      </c>
      <c r="J186" s="10" t="inlineStr">
        <is>
          <t>Preliminary (100M run)</t>
        </is>
      </c>
      <c r="K186" t="inlineStr"/>
    </row>
    <row r="187">
      <c r="A187" t="inlineStr">
        <is>
          <t>value</t>
        </is>
      </c>
      <c r="B187" t="inlineStr">
        <is>
          <t>Per 100 prefetched sectors</t>
        </is>
      </c>
      <c r="C187" t="inlineStr">
        <is>
          <t>SnakeCharmer SK (A100) | 14 apps, A100 average</t>
        </is>
      </c>
      <c r="D187" t="inlineStr">
        <is>
          <t>used</t>
        </is>
      </c>
      <c r="E187" s="14" t="n">
        <v>23.1</v>
      </c>
      <c r="F187" t="inlineStr">
        <is>
          <t>sheet 'vs SnakeCharmer', SnakeCharmer SK row</t>
        </is>
      </c>
      <c r="G187" t="inlineStr">
        <is>
          <t>used = accuracy_sc</t>
        </is>
      </c>
      <c r="H187" t="inlineStr"/>
      <c r="I187" t="inlineStr"/>
      <c r="J187" s="12" t="inlineStr">
        <is>
          <t>Derived</t>
        </is>
      </c>
      <c r="K187" t="inlineStr"/>
    </row>
    <row r="188">
      <c r="A188" t="inlineStr">
        <is>
          <t>value</t>
        </is>
      </c>
      <c r="B188" t="inlineStr">
        <is>
          <t>Per 100 prefetched sectors</t>
        </is>
      </c>
      <c r="C188" t="inlineStr">
        <is>
          <t>SnakeCharmer SK (A100) | 14 apps, A100 average</t>
        </is>
      </c>
      <c r="D188" t="inlineStr">
        <is>
          <t>used on time</t>
        </is>
      </c>
      <c r="E188" s="14" t="n">
        <v>11.1573</v>
      </c>
      <c r="F188" t="inlineStr">
        <is>
          <t>sheet 'vs SnakeCharmer', SnakeCharmer SK row</t>
        </is>
      </c>
      <c r="G188" t="inlineStr">
        <is>
          <t>accuracy_sc x on-time share / 100 = 23.1 x 48.3 / 100</t>
        </is>
      </c>
      <c r="H188" t="inlineStr"/>
      <c r="I188" t="inlineStr"/>
      <c r="J188" s="12" t="inlineStr">
        <is>
          <t>Derived</t>
        </is>
      </c>
      <c r="K188" t="inlineStr"/>
    </row>
    <row r="189">
      <c r="A189" t="inlineStr">
        <is>
          <t>value</t>
        </is>
      </c>
      <c r="B189" t="inlineStr">
        <is>
          <t>Per 100 prefetched sectors</t>
        </is>
      </c>
      <c r="C189" t="inlineStr">
        <is>
          <t>SnakeCharmer SK (A100) | 14 apps, A100 average</t>
        </is>
      </c>
      <c r="D189" t="inlineStr">
        <is>
          <t>used late</t>
        </is>
      </c>
      <c r="E189" s="14" t="n">
        <v>5.313000000000001</v>
      </c>
      <c r="F189" t="inlineStr">
        <is>
          <t>sheet 'vs SnakeCharmer', SnakeCharmer SK row</t>
        </is>
      </c>
      <c r="G189" t="inlineStr">
        <is>
          <t>accuracy_sc x too-late share / 100 = 23.1 x 23.0 / 100</t>
        </is>
      </c>
      <c r="H189" t="inlineStr"/>
      <c r="I189" t="inlineStr"/>
      <c r="J189" s="12" t="inlineStr">
        <is>
          <t>Derived</t>
        </is>
      </c>
      <c r="K189" t="inlineStr"/>
    </row>
    <row r="190">
      <c r="A190" t="inlineStr">
        <is>
          <t>value</t>
        </is>
      </c>
      <c r="B190" t="inlineStr">
        <is>
          <t>Per 100 prefetched sectors</t>
        </is>
      </c>
      <c r="C190" t="inlineStr">
        <is>
          <t>SnakeCharmer SK (A100) | 14 apps, A100 average</t>
        </is>
      </c>
      <c r="D190" t="inlineStr">
        <is>
          <t>used early</t>
        </is>
      </c>
      <c r="E190" s="14" t="n">
        <v>6.629700000000001</v>
      </c>
      <c r="F190" t="inlineStr">
        <is>
          <t>sheet 'vs SnakeCharmer', SnakeCharmer SK row</t>
        </is>
      </c>
      <c r="G190" t="inlineStr">
        <is>
          <t>accuracy_sc x too-early share / 100 = 23.1 x 28.7 / 100</t>
        </is>
      </c>
      <c r="H190" t="inlineStr"/>
      <c r="I190" t="inlineStr"/>
      <c r="J190" s="12" t="inlineStr">
        <is>
          <t>Derived</t>
        </is>
      </c>
      <c r="K190" t="inlineStr"/>
    </row>
    <row r="191">
      <c r="A191" t="inlineStr">
        <is>
          <t>value</t>
        </is>
      </c>
      <c r="B191" t="inlineStr">
        <is>
          <t>Per 100 prefetched sectors</t>
        </is>
      </c>
      <c r="C191" t="inlineStr">
        <is>
          <t>SnakeCharmer SK (A100) | 14 apps, A100 average</t>
        </is>
      </c>
      <c r="D191" t="inlineStr">
        <is>
          <t>wasted</t>
        </is>
      </c>
      <c r="E191" s="14" t="n">
        <v>76.90000000000001</v>
      </c>
      <c r="F191" t="inlineStr">
        <is>
          <t>sheet 'vs SnakeCharmer', SnakeCharmer SK row</t>
        </is>
      </c>
      <c r="G191" t="inlineStr">
        <is>
          <t>wasted = 100 - accuracy_sc</t>
        </is>
      </c>
      <c r="H191" t="inlineStr"/>
      <c r="I191" t="inlineStr"/>
      <c r="J191" s="12" t="inlineStr">
        <is>
          <t>Derived</t>
        </is>
      </c>
      <c r="K191" t="inlineStr"/>
    </row>
    <row r="192">
      <c r="A192" t="inlineStr">
        <is>
          <t>value</t>
        </is>
      </c>
      <c r="B192" t="inlineStr">
        <is>
          <t>Per 100 prefetched sectors</t>
        </is>
      </c>
      <c r="C192" t="inlineStr">
        <is>
          <t>SK_R0_D0 (reserve 0, decoupling off) | SnakeCharmer's 5 workloads</t>
        </is>
      </c>
      <c r="D192" t="inlineStr">
        <is>
          <t>used</t>
        </is>
      </c>
      <c r="E192" s="14" t="n">
        <v>72.90180313434946</v>
      </c>
      <c r="F192" t="inlineStr">
        <is>
          <t>sheet 'vs SnakeCharmer', SK_R0_D0, SnakeCharmer's 5 workloads row</t>
        </is>
      </c>
      <c r="G192" t="inlineStr">
        <is>
          <t>used = accuracy_sc</t>
        </is>
      </c>
      <c r="H192" t="inlineStr">
        <is>
          <t>accelsim-commit-5d55de3_modified_0.0 gpgpu-sim_git-commit-9622012e_modified_0.0</t>
        </is>
      </c>
      <c r="I192" t="inlineStr"/>
      <c r="J192" s="12" t="inlineStr">
        <is>
          <t>Derived</t>
        </is>
      </c>
      <c r="K192" t="inlineStr"/>
    </row>
    <row r="193">
      <c r="A193" t="inlineStr">
        <is>
          <t>value</t>
        </is>
      </c>
      <c r="B193" t="inlineStr">
        <is>
          <t>Per 100 prefetched sectors</t>
        </is>
      </c>
      <c r="C193" t="inlineStr">
        <is>
          <t>SK_R0_D0 (reserve 0, decoupling off) | SnakeCharmer's 5 workloads</t>
        </is>
      </c>
      <c r="D193" t="inlineStr">
        <is>
          <t>used on time</t>
        </is>
      </c>
      <c r="E193" s="14" t="n">
        <v>29.6479586791515</v>
      </c>
      <c r="F193" t="inlineStr">
        <is>
          <t>sheet 'vs SnakeCharmer', SK_R0_D0, SnakeCharmer's 5 workloads row</t>
        </is>
      </c>
      <c r="G193" t="inlineStr">
        <is>
          <t>accuracy_sc x on-time share / 100 = 72.9 x 40.7 / 100</t>
        </is>
      </c>
      <c r="H193" t="inlineStr">
        <is>
          <t>accelsim-commit-5d55de3_modified_0.0 gpgpu-sim_git-commit-9622012e_modified_0.0</t>
        </is>
      </c>
      <c r="I193" t="inlineStr"/>
      <c r="J193" s="12" t="inlineStr">
        <is>
          <t>Derived</t>
        </is>
      </c>
      <c r="K193" t="inlineStr"/>
    </row>
    <row r="194">
      <c r="A194" t="inlineStr">
        <is>
          <t>value</t>
        </is>
      </c>
      <c r="B194" t="inlineStr">
        <is>
          <t>Per 100 prefetched sectors</t>
        </is>
      </c>
      <c r="C194" t="inlineStr">
        <is>
          <t>SK_R0_D0 (reserve 0, decoupling off) | SnakeCharmer's 5 workloads</t>
        </is>
      </c>
      <c r="D194" t="inlineStr">
        <is>
          <t>used late</t>
        </is>
      </c>
      <c r="E194" s="14" t="n">
        <v>43.25384445519797</v>
      </c>
      <c r="F194" t="inlineStr">
        <is>
          <t>sheet 'vs SnakeCharmer', SK_R0_D0, SnakeCharmer's 5 workloads row</t>
        </is>
      </c>
      <c r="G194" t="inlineStr">
        <is>
          <t>accuracy_sc x too-late share / 100 = 72.9 x 59.3 / 100</t>
        </is>
      </c>
      <c r="H194" t="inlineStr">
        <is>
          <t>accelsim-commit-5d55de3_modified_0.0 gpgpu-sim_git-commit-9622012e_modified_0.0</t>
        </is>
      </c>
      <c r="I194" t="inlineStr"/>
      <c r="J194" s="12" t="inlineStr">
        <is>
          <t>Derived</t>
        </is>
      </c>
      <c r="K194" t="inlineStr"/>
    </row>
    <row r="195">
      <c r="A195" t="inlineStr">
        <is>
          <t>value</t>
        </is>
      </c>
      <c r="B195" t="inlineStr">
        <is>
          <t>Per 100 prefetched sectors</t>
        </is>
      </c>
      <c r="C195" t="inlineStr">
        <is>
          <t>SK_R0_D0 (reserve 0, decoupling off) | SnakeCharmer's 5 workloads</t>
        </is>
      </c>
      <c r="D195" t="inlineStr">
        <is>
          <t>used early</t>
        </is>
      </c>
      <c r="E195" s="14" t="n">
        <v>0</v>
      </c>
      <c r="F195" t="inlineStr">
        <is>
          <t>sheet 'vs SnakeCharmer', SK_R0_D0, SnakeCharmer's 5 workloads row</t>
        </is>
      </c>
      <c r="G195" t="inlineStr">
        <is>
          <t>accuracy_sc x too-early share / 100 = 72.9 x 0.0 / 100</t>
        </is>
      </c>
      <c r="H195" t="inlineStr">
        <is>
          <t>accelsim-commit-5d55de3_modified_0.0 gpgpu-sim_git-commit-9622012e_modified_0.0</t>
        </is>
      </c>
      <c r="I195" t="inlineStr"/>
      <c r="J195" s="12" t="inlineStr">
        <is>
          <t>Derived</t>
        </is>
      </c>
      <c r="K195" t="inlineStr"/>
    </row>
    <row r="196">
      <c r="A196" t="inlineStr">
        <is>
          <t>value</t>
        </is>
      </c>
      <c r="B196" t="inlineStr">
        <is>
          <t>Per 100 prefetched sectors</t>
        </is>
      </c>
      <c r="C196" t="inlineStr">
        <is>
          <t>SK_R0_D0 (reserve 0, decoupling off) | SnakeCharmer's 5 workloads</t>
        </is>
      </c>
      <c r="D196" t="inlineStr">
        <is>
          <t>wasted</t>
        </is>
      </c>
      <c r="E196" s="14" t="n">
        <v>27.09819686565054</v>
      </c>
      <c r="F196" t="inlineStr">
        <is>
          <t>sheet 'vs SnakeCharmer', SK_R0_D0, SnakeCharmer's 5 workloads row</t>
        </is>
      </c>
      <c r="G196" t="inlineStr">
        <is>
          <t>wasted = 100 - accuracy_sc</t>
        </is>
      </c>
      <c r="H196" t="inlineStr">
        <is>
          <t>accelsim-commit-5d55de3_modified_0.0 gpgpu-sim_git-commit-9622012e_modified_0.0</t>
        </is>
      </c>
      <c r="I196" t="inlineStr"/>
      <c r="J196" s="12" t="inlineStr">
        <is>
          <t>Derived</t>
        </is>
      </c>
      <c r="K196" t="inlineStr"/>
    </row>
    <row r="197">
      <c r="A197" t="inlineStr">
        <is>
          <t>value</t>
        </is>
      </c>
      <c r="B197" t="inlineStr">
        <is>
          <t>Best Snake vs no prefetching</t>
        </is>
      </c>
      <c r="C197" t="inlineStr">
        <is>
          <t>hotspot 512 | our 7 apps</t>
        </is>
      </c>
      <c r="D197" t="inlineStr">
        <is>
          <t>IPC, no prefetching</t>
        </is>
      </c>
      <c r="E197" s="14" t="n">
        <v>4365.8701</v>
      </c>
      <c r="F197" t="inlineStr">
        <is>
          <t>sim_run_snake_skc/qv100_7apps/runs/hotspot-rodinia-3.1/512_2_2___data_temp_512___data_power_512_output_out/QV100-SASS-100M_INSN</t>
        </is>
      </c>
      <c r="G197" t="inlineStr">
        <is>
          <t>gpu_tot_ipc, no prefetching</t>
        </is>
      </c>
      <c r="H197" t="inlineStr">
        <is>
          <t>accelsim-commit-5d55de3_modified_0.0 gpgpu-sim_git-commit-9622012e_modified_0.0</t>
        </is>
      </c>
      <c r="I197" t="inlineStr"/>
      <c r="J197" s="10" t="inlineStr">
        <is>
          <t>Preliminary (100M run)</t>
        </is>
      </c>
      <c r="K197" t="inlineStr"/>
    </row>
    <row r="198">
      <c r="A198" t="inlineStr">
        <is>
          <t>value</t>
        </is>
      </c>
      <c r="B198" t="inlineStr">
        <is>
          <t>Best Snake vs no prefetching</t>
        </is>
      </c>
      <c r="C198" t="inlineStr">
        <is>
          <t>hotspot 512 | our 7 apps</t>
        </is>
      </c>
      <c r="D198" t="inlineStr">
        <is>
          <t>IPC, SK_R0_D0</t>
        </is>
      </c>
      <c r="E198" s="14" t="n">
        <v>4481.1372</v>
      </c>
      <c r="F198" t="inlineStr">
        <is>
          <t>sim_run_snake_skm/qv100/runs/hotspot-rodinia-3.1/512_2_2___data_temp_512___data_power_512_output_out/QV100-SASS-100M_INSN-SNAKE-SNAKE_FP1-SK_SC-SK_SC_CTA-SNAKE_HEAD64-SNAKE_MQR0-SNAKE_DM0</t>
        </is>
      </c>
      <c r="G198" t="inlineStr">
        <is>
          <t>gpu_tot_ipc, SK_R0_D0</t>
        </is>
      </c>
      <c r="H198" t="inlineStr">
        <is>
          <t>accelsim-commit-5d55de3_modified_0.0 gpgpu-sim_git-commit-9622012e_modified_0.0</t>
        </is>
      </c>
      <c r="I198" t="inlineStr"/>
      <c r="J198" s="10" t="inlineStr">
        <is>
          <t>Preliminary (100M run)</t>
        </is>
      </c>
      <c r="K198" t="inlineStr"/>
    </row>
    <row r="199">
      <c r="A199" t="inlineStr">
        <is>
          <t>value</t>
        </is>
      </c>
      <c r="B199" t="inlineStr">
        <is>
          <t>Best Snake vs no prefetching</t>
        </is>
      </c>
      <c r="C199" t="inlineStr">
        <is>
          <t>hotspot 512 | our 7 apps</t>
        </is>
      </c>
      <c r="D199" t="inlineStr">
        <is>
          <t>IPC gain</t>
        </is>
      </c>
      <c r="E199" s="14" t="n">
        <v>2.640186202516648</v>
      </c>
      <c r="F199" t="inlineStr">
        <is>
          <t>sim_run_snake_skm/qv100/runs/hotspot-rodinia-3.1/512_2_2___data_temp_512___data_power_512_output_out/QV100-SASS-100M_INSN-SNAKE-SNAKE_FP1-SK_SC-SK_SC_CTA-SNAKE_HEAD64-SNAKE_MQR0-SNAKE_DM0; sim_run_snake_skc/qv100_7apps/runs/hotspot-rodinia-3.1/512_2_2___data_temp_512___data_power_512_output_out/QV100-SASS-100M_INSN</t>
        </is>
      </c>
      <c r="G199" t="inlineStr">
        <is>
          <t>gpu_tot_ipc SK_R0_D0 / no prefetching - 1</t>
        </is>
      </c>
      <c r="H199" t="inlineStr">
        <is>
          <t>accelsim-commit-5d55de3_modified_0.0 gpgpu-sim_git-commit-9622012e_modified_0.0</t>
        </is>
      </c>
      <c r="I199">
        <f> 2.64 (SK_match_qv100.md Per workload)</f>
        <v/>
      </c>
      <c r="J199" s="10" t="inlineStr">
        <is>
          <t>Preliminary (100M run)</t>
        </is>
      </c>
      <c r="K199" t="inlineStr"/>
    </row>
    <row r="200">
      <c r="A200" t="inlineStr">
        <is>
          <t>value</t>
        </is>
      </c>
      <c r="B200" t="inlineStr">
        <is>
          <t>Best Snake vs no prefetching</t>
        </is>
      </c>
      <c r="C200" t="inlineStr">
        <is>
          <t>hotspot 1024 | our 7 apps</t>
        </is>
      </c>
      <c r="D200" t="inlineStr">
        <is>
          <t>IPC, no prefetching</t>
        </is>
      </c>
      <c r="E200" s="14" t="n">
        <v>4880.3027</v>
      </c>
      <c r="F200" t="inlineStr">
        <is>
          <t>sim_run_snake_skc/qv100_7apps/runs/hotspot-rodinia-3.1/1024_2_2___data_temp_1024___data_power_1024_output_out/QV100-SASS-100M_INSN</t>
        </is>
      </c>
      <c r="G200" t="inlineStr">
        <is>
          <t>gpu_tot_ipc, no prefetching</t>
        </is>
      </c>
      <c r="H200" t="inlineStr">
        <is>
          <t>accelsim-commit-5d55de3_modified_0.0 gpgpu-sim_git-commit-9622012e_modified_0.0</t>
        </is>
      </c>
      <c r="I200" t="inlineStr"/>
      <c r="J200" s="10" t="inlineStr">
        <is>
          <t>Preliminary (100M run)</t>
        </is>
      </c>
      <c r="K200" t="inlineStr"/>
    </row>
    <row r="201">
      <c r="A201" t="inlineStr">
        <is>
          <t>value</t>
        </is>
      </c>
      <c r="B201" t="inlineStr">
        <is>
          <t>Best Snake vs no prefetching</t>
        </is>
      </c>
      <c r="C201" t="inlineStr">
        <is>
          <t>hotspot 1024 | our 7 apps</t>
        </is>
      </c>
      <c r="D201" t="inlineStr">
        <is>
          <t>IPC, SK_R0_D0</t>
        </is>
      </c>
      <c r="E201" s="14" t="n">
        <v>4894.7119</v>
      </c>
      <c r="F201" t="inlineStr">
        <is>
          <t>sim_run_snake_skm/qv100/runs/hotspot-rodinia-3.1/1024_2_2___data_temp_1024___data_power_1024_output_out/QV100-SASS-100M_INSN-SNAKE-SNAKE_FP1-SK_SC-SK_SC_CTA-SNAKE_HEAD64-SNAKE_MQR0-SNAKE_DM0</t>
        </is>
      </c>
      <c r="G201" t="inlineStr">
        <is>
          <t>gpu_tot_ipc, SK_R0_D0</t>
        </is>
      </c>
      <c r="H201" t="inlineStr">
        <is>
          <t>accelsim-commit-5d55de3_modified_0.0 gpgpu-sim_git-commit-9622012e_modified_0.0</t>
        </is>
      </c>
      <c r="I201" t="inlineStr"/>
      <c r="J201" s="10" t="inlineStr">
        <is>
          <t>Preliminary (100M run)</t>
        </is>
      </c>
      <c r="K201" t="inlineStr"/>
    </row>
    <row r="202">
      <c r="A202" t="inlineStr">
        <is>
          <t>value</t>
        </is>
      </c>
      <c r="B202" t="inlineStr">
        <is>
          <t>Best Snake vs no prefetching</t>
        </is>
      </c>
      <c r="C202" t="inlineStr">
        <is>
          <t>hotspot 1024 | our 7 apps</t>
        </is>
      </c>
      <c r="D202" t="inlineStr">
        <is>
          <t>IPC gain</t>
        </is>
      </c>
      <c r="E202" s="14" t="n">
        <v>0.2952521776979022</v>
      </c>
      <c r="F202" t="inlineStr">
        <is>
          <t>sim_run_snake_skm/qv100/runs/hotspot-rodinia-3.1/1024_2_2___data_temp_1024___data_power_1024_output_out/QV100-SASS-100M_INSN-SNAKE-SNAKE_FP1-SK_SC-SK_SC_CTA-SNAKE_HEAD64-SNAKE_MQR0-SNAKE_DM0; sim_run_snake_skc/qv100_7apps/runs/hotspot-rodinia-3.1/1024_2_2___data_temp_1024___data_power_1024_output_out/QV100-SASS-100M_INSN</t>
        </is>
      </c>
      <c r="G202" t="inlineStr">
        <is>
          <t>gpu_tot_ipc SK_R0_D0 / no prefetching - 1</t>
        </is>
      </c>
      <c r="H202" t="inlineStr">
        <is>
          <t>accelsim-commit-5d55de3_modified_0.0 gpgpu-sim_git-commit-9622012e_modified_0.0</t>
        </is>
      </c>
      <c r="I202">
        <f> 0.3 (SK_match_qv100.md Per workload)</f>
        <v/>
      </c>
      <c r="J202" s="10" t="inlineStr">
        <is>
          <t>Preliminary (100M run)</t>
        </is>
      </c>
      <c r="K202" t="inlineStr"/>
    </row>
    <row r="203">
      <c r="A203" t="inlineStr">
        <is>
          <t>value</t>
        </is>
      </c>
      <c r="B203" t="inlineStr">
        <is>
          <t>Best Snake vs no prefetching</t>
        </is>
      </c>
      <c r="C203" t="inlineStr">
        <is>
          <t>mri-q | our 7 apps</t>
        </is>
      </c>
      <c r="D203" t="inlineStr">
        <is>
          <t>IPC, no prefetching</t>
        </is>
      </c>
      <c r="E203" s="14" t="n">
        <v>3329.5012</v>
      </c>
      <c r="F203" t="inlineStr">
        <is>
          <t>sim_run_snake_skc/qv100_7apps/runs/parboil-mri-q/_i___data_small_input_32_32_32_dataset_bin__o_32_32_32_dataset_out/QV100-SASS-100M_INSN</t>
        </is>
      </c>
      <c r="G203" t="inlineStr">
        <is>
          <t>gpu_tot_ipc, no prefetching</t>
        </is>
      </c>
      <c r="H203" t="inlineStr">
        <is>
          <t>accelsim-commit-5d55de3_modified_0.0 gpgpu-sim_git-commit-9622012e_modified_0.0</t>
        </is>
      </c>
      <c r="I203" t="inlineStr"/>
      <c r="J203" s="10" t="inlineStr">
        <is>
          <t>Preliminary (100M run)</t>
        </is>
      </c>
      <c r="K203" t="inlineStr"/>
    </row>
    <row r="204">
      <c r="A204" t="inlineStr">
        <is>
          <t>value</t>
        </is>
      </c>
      <c r="B204" t="inlineStr">
        <is>
          <t>Best Snake vs no prefetching</t>
        </is>
      </c>
      <c r="C204" t="inlineStr">
        <is>
          <t>mri-q | our 7 apps</t>
        </is>
      </c>
      <c r="D204" t="inlineStr">
        <is>
          <t>IPC, SK_R0_D0</t>
        </is>
      </c>
      <c r="E204" s="14" t="n">
        <v>3337.8604</v>
      </c>
      <c r="F204" t="inlineStr">
        <is>
          <t>sim_run_snake_skm/qv100/runs/parboil-mri-q/_i___data_small_input_32_32_32_dataset_bin__o_32_32_32_dataset_out/QV100-SASS-100M_INSN-SNAKE-SNAKE_FP1-SK_SC-SK_SC_CTA-SNAKE_HEAD64-SNAKE_MQR0-SNAKE_DM0</t>
        </is>
      </c>
      <c r="G204" t="inlineStr">
        <is>
          <t>gpu_tot_ipc, SK_R0_D0</t>
        </is>
      </c>
      <c r="H204" t="inlineStr">
        <is>
          <t>accelsim-commit-5d55de3_modified_0.0 gpgpu-sim_git-commit-9622012e_modified_0.0</t>
        </is>
      </c>
      <c r="I204" t="inlineStr"/>
      <c r="J204" s="10" t="inlineStr">
        <is>
          <t>Preliminary (100M run)</t>
        </is>
      </c>
      <c r="K204" t="inlineStr"/>
    </row>
    <row r="205">
      <c r="A205" t="inlineStr">
        <is>
          <t>value</t>
        </is>
      </c>
      <c r="B205" t="inlineStr">
        <is>
          <t>Best Snake vs no prefetching</t>
        </is>
      </c>
      <c r="C205" t="inlineStr">
        <is>
          <t>mri-q | our 7 apps</t>
        </is>
      </c>
      <c r="D205" t="inlineStr">
        <is>
          <t>IPC gain</t>
        </is>
      </c>
      <c r="E205" s="14" t="n">
        <v>0.2510646339457745</v>
      </c>
      <c r="F205" t="inlineStr">
        <is>
          <t>sim_run_snake_skm/qv100/runs/parboil-mri-q/_i___data_small_input_32_32_32_dataset_bin__o_32_32_32_dataset_out/QV100-SASS-100M_INSN-SNAKE-SNAKE_FP1-SK_SC-SK_SC_CTA-SNAKE_HEAD64-SNAKE_MQR0-SNAKE_DM0; sim_run_snake_skc/qv100_7apps/runs/parboil-mri-q/_i___data_small_input_32_32_32_dataset_bin__o_32_32_32_dataset_out/QV100-SASS-100M_INSN</t>
        </is>
      </c>
      <c r="G205" t="inlineStr">
        <is>
          <t>gpu_tot_ipc SK_R0_D0 / no prefetching - 1</t>
        </is>
      </c>
      <c r="H205" t="inlineStr">
        <is>
          <t>accelsim-commit-5d55de3_modified_0.0 gpgpu-sim_git-commit-9622012e_modified_0.0</t>
        </is>
      </c>
      <c r="I205">
        <f> 0.25 (SK_match_qv100.md Per workload)</f>
        <v/>
      </c>
      <c r="J205" s="10" t="inlineStr">
        <is>
          <t>Preliminary (100M run)</t>
        </is>
      </c>
      <c r="K205" t="inlineStr"/>
    </row>
    <row r="206">
      <c r="A206" t="inlineStr">
        <is>
          <t>value</t>
        </is>
      </c>
      <c r="B206" t="inlineStr">
        <is>
          <t>Best Snake vs no prefetching</t>
        </is>
      </c>
      <c r="C206" t="inlineStr">
        <is>
          <t>lud 256 | our 7 apps</t>
        </is>
      </c>
      <c r="D206" t="inlineStr">
        <is>
          <t>IPC, no prefetching</t>
        </is>
      </c>
      <c r="E206" s="14" t="n">
        <v>47.4307</v>
      </c>
      <c r="F206" t="inlineStr">
        <is>
          <t>sim_run_snake_skc/qv100_7apps/runs/lud-rodinia-3.1/_s_256__v/QV100-SASS-100M_INSN</t>
        </is>
      </c>
      <c r="G206" t="inlineStr">
        <is>
          <t>gpu_tot_ipc, no prefetching</t>
        </is>
      </c>
      <c r="H206" t="inlineStr">
        <is>
          <t>accelsim-commit-5d55de3_modified_0.0 gpgpu-sim_git-commit-9622012e_modified_0.0</t>
        </is>
      </c>
      <c r="I206" t="inlineStr"/>
      <c r="J206" s="10" t="inlineStr">
        <is>
          <t>Preliminary (100M run)</t>
        </is>
      </c>
      <c r="K206" t="inlineStr"/>
    </row>
    <row r="207">
      <c r="A207" t="inlineStr">
        <is>
          <t>value</t>
        </is>
      </c>
      <c r="B207" t="inlineStr">
        <is>
          <t>Best Snake vs no prefetching</t>
        </is>
      </c>
      <c r="C207" t="inlineStr">
        <is>
          <t>lud 256 | our 7 apps</t>
        </is>
      </c>
      <c r="D207" t="inlineStr">
        <is>
          <t>IPC, SK_R0_D0</t>
        </is>
      </c>
      <c r="E207" s="14" t="n">
        <v>47.4411</v>
      </c>
      <c r="F207" t="inlineStr">
        <is>
          <t>sim_run_snake_skm/qv100/runs/lud-rodinia-3.1/_s_256__v/QV100-SASS-100M_INSN-SNAKE-SNAKE_FP1-SK_SC-SK_SC_CTA-SNAKE_HEAD64-SNAKE_MQR0-SNAKE_DM0</t>
        </is>
      </c>
      <c r="G207" t="inlineStr">
        <is>
          <t>gpu_tot_ipc, SK_R0_D0</t>
        </is>
      </c>
      <c r="H207" t="inlineStr">
        <is>
          <t>accelsim-commit-5d55de3_modified_0.0 gpgpu-sim_git-commit-9622012e_modified_0.0</t>
        </is>
      </c>
      <c r="I207" t="inlineStr"/>
      <c r="J207" s="10" t="inlineStr">
        <is>
          <t>Preliminary (100M run)</t>
        </is>
      </c>
      <c r="K207" t="inlineStr"/>
    </row>
    <row r="208">
      <c r="A208" t="inlineStr">
        <is>
          <t>value</t>
        </is>
      </c>
      <c r="B208" t="inlineStr">
        <is>
          <t>Best Snake vs no prefetching</t>
        </is>
      </c>
      <c r="C208" t="inlineStr">
        <is>
          <t>lud 256 | our 7 apps</t>
        </is>
      </c>
      <c r="D208" t="inlineStr">
        <is>
          <t>IPC gain</t>
        </is>
      </c>
      <c r="E208" s="14" t="n">
        <v>0.02192672678242857</v>
      </c>
      <c r="F208" t="inlineStr">
        <is>
          <t>sim_run_snake_skm/qv100/runs/lud-rodinia-3.1/_s_256__v/QV100-SASS-100M_INSN-SNAKE-SNAKE_FP1-SK_SC-SK_SC_CTA-SNAKE_HEAD64-SNAKE_MQR0-SNAKE_DM0; sim_run_snake_skc/qv100_7apps/runs/lud-rodinia-3.1/_s_256__v/QV100-SASS-100M_INSN</t>
        </is>
      </c>
      <c r="G208" t="inlineStr">
        <is>
          <t>gpu_tot_ipc SK_R0_D0 / no prefetching - 1</t>
        </is>
      </c>
      <c r="H208" t="inlineStr">
        <is>
          <t>accelsim-commit-5d55de3_modified_0.0 gpgpu-sim_git-commit-9622012e_modified_0.0</t>
        </is>
      </c>
      <c r="I208">
        <f> 0.02 (SK_match_qv100.md Per workload)</f>
        <v/>
      </c>
      <c r="J208" s="10" t="inlineStr">
        <is>
          <t>Preliminary (100M run)</t>
        </is>
      </c>
      <c r="K208" t="inlineStr"/>
    </row>
    <row r="209">
      <c r="A209" t="inlineStr">
        <is>
          <t>value</t>
        </is>
      </c>
      <c r="B209" t="inlineStr">
        <is>
          <t>Best Snake vs no prefetching</t>
        </is>
      </c>
      <c r="C209" t="inlineStr">
        <is>
          <t>nw | our 7 apps</t>
        </is>
      </c>
      <c r="D209" t="inlineStr">
        <is>
          <t>IPC, no prefetching</t>
        </is>
      </c>
      <c r="E209" s="14" t="n">
        <v>67.3977</v>
      </c>
      <c r="F209" t="inlineStr">
        <is>
          <t>sim_run_snake_skc/qv100_7apps/runs/nw-rodinia-3.1/2048_10/QV100-SASS-100M_INSN</t>
        </is>
      </c>
      <c r="G209" t="inlineStr">
        <is>
          <t>gpu_tot_ipc, no prefetching</t>
        </is>
      </c>
      <c r="H209" t="inlineStr">
        <is>
          <t>accelsim-commit-5d55de3_modified_0.0 gpgpu-sim_git-commit-9622012e_modified_0.0</t>
        </is>
      </c>
      <c r="I209" t="inlineStr"/>
      <c r="J209" s="10" t="inlineStr">
        <is>
          <t>Preliminary (100M run)</t>
        </is>
      </c>
      <c r="K209" t="inlineStr"/>
    </row>
    <row r="210">
      <c r="A210" t="inlineStr">
        <is>
          <t>value</t>
        </is>
      </c>
      <c r="B210" t="inlineStr">
        <is>
          <t>Best Snake vs no prefetching</t>
        </is>
      </c>
      <c r="C210" t="inlineStr">
        <is>
          <t>nw | our 7 apps</t>
        </is>
      </c>
      <c r="D210" t="inlineStr">
        <is>
          <t>IPC, SK_R0_D0</t>
        </is>
      </c>
      <c r="E210" s="14" t="n">
        <v>67.3977</v>
      </c>
      <c r="F210" t="inlineStr">
        <is>
          <t>sim_run_snake_skm/qv100/runs/nw-rodinia-3.1/2048_10/QV100-SASS-100M_INSN-SNAKE-SNAKE_FP1-SK_SC-SK_SC_CTA-SNAKE_HEAD64-SNAKE_MQR0-SNAKE_DM0</t>
        </is>
      </c>
      <c r="G210" t="inlineStr">
        <is>
          <t>gpu_tot_ipc, SK_R0_D0</t>
        </is>
      </c>
      <c r="H210" t="inlineStr">
        <is>
          <t>accelsim-commit-5d55de3_modified_0.0 gpgpu-sim_git-commit-9622012e_modified_0.0</t>
        </is>
      </c>
      <c r="I210" t="inlineStr"/>
      <c r="J210" s="10" t="inlineStr">
        <is>
          <t>Preliminary (100M run)</t>
        </is>
      </c>
      <c r="K210" t="inlineStr"/>
    </row>
    <row r="211">
      <c r="A211" t="inlineStr">
        <is>
          <t>value</t>
        </is>
      </c>
      <c r="B211" t="inlineStr">
        <is>
          <t>Best Snake vs no prefetching</t>
        </is>
      </c>
      <c r="C211" t="inlineStr">
        <is>
          <t>nw | our 7 apps</t>
        </is>
      </c>
      <c r="D211" t="inlineStr">
        <is>
          <t>IPC gain</t>
        </is>
      </c>
      <c r="E211" s="14" t="n">
        <v>0</v>
      </c>
      <c r="F211" t="inlineStr">
        <is>
          <t>sim_run_snake_skm/qv100/runs/nw-rodinia-3.1/2048_10/QV100-SASS-100M_INSN-SNAKE-SNAKE_FP1-SK_SC-SK_SC_CTA-SNAKE_HEAD64-SNAKE_MQR0-SNAKE_DM0; sim_run_snake_skc/qv100_7apps/runs/nw-rodinia-3.1/2048_10/QV100-SASS-100M_INSN</t>
        </is>
      </c>
      <c r="G211" t="inlineStr">
        <is>
          <t>gpu_tot_ipc SK_R0_D0 / no prefetching - 1</t>
        </is>
      </c>
      <c r="H211" t="inlineStr">
        <is>
          <t>accelsim-commit-5d55de3_modified_0.0 gpgpu-sim_git-commit-9622012e_modified_0.0</t>
        </is>
      </c>
      <c r="I211">
        <f> 0.0 (SK_match_qv100.md Per workload)</f>
        <v/>
      </c>
      <c r="J211" s="10" t="inlineStr">
        <is>
          <t>Preliminary (100M run)</t>
        </is>
      </c>
      <c r="K211" t="inlineStr"/>
    </row>
    <row r="212">
      <c r="A212" t="inlineStr">
        <is>
          <t>value</t>
        </is>
      </c>
      <c r="B212" t="inlineStr">
        <is>
          <t>Best Snake vs no prefetching</t>
        </is>
      </c>
      <c r="C212" t="inlineStr">
        <is>
          <t>lud 512 | our 7 apps</t>
        </is>
      </c>
      <c r="D212" t="inlineStr">
        <is>
          <t>IPC, no prefetching</t>
        </is>
      </c>
      <c r="E212" s="14" t="n">
        <v>395.7457</v>
      </c>
      <c r="F212" t="inlineStr">
        <is>
          <t>sim_run_snake_skc/qv100_7apps/runs/lud-rodinia-3.1/_i___data_512_dat/QV100-SASS-100M_INSN</t>
        </is>
      </c>
      <c r="G212" t="inlineStr">
        <is>
          <t>gpu_tot_ipc, no prefetching</t>
        </is>
      </c>
      <c r="H212" t="inlineStr">
        <is>
          <t>accelsim-commit-5d55de3_modified_0.0 gpgpu-sim_git-commit-9622012e_modified_0.0</t>
        </is>
      </c>
      <c r="I212" t="inlineStr"/>
      <c r="J212" s="10" t="inlineStr">
        <is>
          <t>Preliminary (100M run)</t>
        </is>
      </c>
      <c r="K212" t="inlineStr"/>
    </row>
    <row r="213">
      <c r="A213" t="inlineStr">
        <is>
          <t>value</t>
        </is>
      </c>
      <c r="B213" t="inlineStr">
        <is>
          <t>Best Snake vs no prefetching</t>
        </is>
      </c>
      <c r="C213" t="inlineStr">
        <is>
          <t>lud 512 | our 7 apps</t>
        </is>
      </c>
      <c r="D213" t="inlineStr">
        <is>
          <t>IPC, SK_R0_D0</t>
        </is>
      </c>
      <c r="E213" s="14" t="n">
        <v>394.7747</v>
      </c>
      <c r="F213" t="inlineStr">
        <is>
          <t>sim_run_snake_skm/qv100/runs/lud-rodinia-3.1/_i___data_512_dat/QV100-SASS-100M_INSN-SNAKE-SNAKE_FP1-SK_SC-SK_SC_CTA-SNAKE_HEAD64-SNAKE_MQR0-SNAKE_DM0</t>
        </is>
      </c>
      <c r="G213" t="inlineStr">
        <is>
          <t>gpu_tot_ipc, SK_R0_D0</t>
        </is>
      </c>
      <c r="H213" t="inlineStr">
        <is>
          <t>accelsim-commit-5d55de3_modified_0.0 gpgpu-sim_git-commit-9622012e_modified_0.0</t>
        </is>
      </c>
      <c r="I213" t="inlineStr"/>
      <c r="J213" s="10" t="inlineStr">
        <is>
          <t>Preliminary (100M run)</t>
        </is>
      </c>
      <c r="K213" t="inlineStr"/>
    </row>
    <row r="214">
      <c r="A214" t="inlineStr">
        <is>
          <t>value</t>
        </is>
      </c>
      <c r="B214" t="inlineStr">
        <is>
          <t>Best Snake vs no prefetching</t>
        </is>
      </c>
      <c r="C214" t="inlineStr">
        <is>
          <t>lud 512 | our 7 apps</t>
        </is>
      </c>
      <c r="D214" t="inlineStr">
        <is>
          <t>IPC gain</t>
        </is>
      </c>
      <c r="E214" s="14" t="n">
        <v>-0.2453595831868771</v>
      </c>
      <c r="F214" t="inlineStr">
        <is>
          <t>sim_run_snake_skm/qv100/runs/lud-rodinia-3.1/_i___data_512_dat/QV100-SASS-100M_INSN-SNAKE-SNAKE_FP1-SK_SC-SK_SC_CTA-SNAKE_HEAD64-SNAKE_MQR0-SNAKE_DM0; sim_run_snake_skc/qv100_7apps/runs/lud-rodinia-3.1/_i___data_512_dat/QV100-SASS-100M_INSN</t>
        </is>
      </c>
      <c r="G214" t="inlineStr">
        <is>
          <t>gpu_tot_ipc SK_R0_D0 / no prefetching - 1</t>
        </is>
      </c>
      <c r="H214" t="inlineStr">
        <is>
          <t>accelsim-commit-5d55de3_modified_0.0 gpgpu-sim_git-commit-9622012e_modified_0.0</t>
        </is>
      </c>
      <c r="I214">
        <f> -0.25 (SK_match_qv100.md Per workload)</f>
        <v/>
      </c>
      <c r="J214" s="10" t="inlineStr">
        <is>
          <t>Preliminary (100M run)</t>
        </is>
      </c>
      <c r="K214" t="inlineStr"/>
    </row>
    <row r="215">
      <c r="A215" t="inlineStr">
        <is>
          <t>value</t>
        </is>
      </c>
      <c r="B215" t="inlineStr">
        <is>
          <t>Best Snake vs no prefetching</t>
        </is>
      </c>
      <c r="C215" t="inlineStr">
        <is>
          <t>backprop | our 7 apps</t>
        </is>
      </c>
      <c r="D215" t="inlineStr">
        <is>
          <t>IPC, no prefetching</t>
        </is>
      </c>
      <c r="E215" s="14" t="n">
        <v>3486.8882</v>
      </c>
      <c r="F215" t="inlineStr">
        <is>
          <t>sim_run_snake_skc/qv100_7apps/runs/backprop-rodinia-3.1/65536/QV100-SASS-100M_INSN</t>
        </is>
      </c>
      <c r="G215" t="inlineStr">
        <is>
          <t>gpu_tot_ipc, no prefetching</t>
        </is>
      </c>
      <c r="H215" t="inlineStr">
        <is>
          <t>accelsim-commit-5d55de3_modified_0.0 gpgpu-sim_git-commit-9622012e_modified_0.0</t>
        </is>
      </c>
      <c r="I215" t="inlineStr"/>
      <c r="J215" s="10" t="inlineStr">
        <is>
          <t>Preliminary (100M run)</t>
        </is>
      </c>
      <c r="K215" t="inlineStr"/>
    </row>
    <row r="216">
      <c r="A216" t="inlineStr">
        <is>
          <t>value</t>
        </is>
      </c>
      <c r="B216" t="inlineStr">
        <is>
          <t>Best Snake vs no prefetching</t>
        </is>
      </c>
      <c r="C216" t="inlineStr">
        <is>
          <t>backprop | our 7 apps</t>
        </is>
      </c>
      <c r="D216" t="inlineStr">
        <is>
          <t>IPC, SK_R0_D0</t>
        </is>
      </c>
      <c r="E216" s="14" t="n">
        <v>3475.7996</v>
      </c>
      <c r="F216" t="inlineStr">
        <is>
          <t>sim_run_snake_skm/qv100/runs/backprop-rodinia-3.1/65536/QV100-SASS-100M_INSN-SNAKE-SNAKE_FP1-SK_SC-SK_SC_CTA-SNAKE_HEAD64-SNAKE_MQR0-SNAKE_DM0</t>
        </is>
      </c>
      <c r="G216" t="inlineStr">
        <is>
          <t>gpu_tot_ipc, SK_R0_D0</t>
        </is>
      </c>
      <c r="H216" t="inlineStr">
        <is>
          <t>accelsim-commit-5d55de3_modified_0.0 gpgpu-sim_git-commit-9622012e_modified_0.0</t>
        </is>
      </c>
      <c r="I216" t="inlineStr"/>
      <c r="J216" s="10" t="inlineStr">
        <is>
          <t>Preliminary (100M run)</t>
        </is>
      </c>
      <c r="K216" t="inlineStr"/>
    </row>
    <row r="217">
      <c r="A217" t="inlineStr">
        <is>
          <t>value</t>
        </is>
      </c>
      <c r="B217" t="inlineStr">
        <is>
          <t>Best Snake vs no prefetching</t>
        </is>
      </c>
      <c r="C217" t="inlineStr">
        <is>
          <t>backprop | our 7 apps</t>
        </is>
      </c>
      <c r="D217" t="inlineStr">
        <is>
          <t>IPC gain</t>
        </is>
      </c>
      <c r="E217" s="14" t="n">
        <v>-0.3180084752932411</v>
      </c>
      <c r="F217" t="inlineStr">
        <is>
          <t>sim_run_snake_skm/qv100/runs/backprop-rodinia-3.1/65536/QV100-SASS-100M_INSN-SNAKE-SNAKE_FP1-SK_SC-SK_SC_CTA-SNAKE_HEAD64-SNAKE_MQR0-SNAKE_DM0; sim_run_snake_skc/qv100_7apps/runs/backprop-rodinia-3.1/65536/QV100-SASS-100M_INSN</t>
        </is>
      </c>
      <c r="G217" t="inlineStr">
        <is>
          <t>gpu_tot_ipc SK_R0_D0 / no prefetching - 1</t>
        </is>
      </c>
      <c r="H217" t="inlineStr">
        <is>
          <t>accelsim-commit-5d55de3_modified_0.0 gpgpu-sim_git-commit-9622012e_modified_0.0</t>
        </is>
      </c>
      <c r="I217">
        <f> -0.32 (SK_match_qv100.md Per workload)</f>
        <v/>
      </c>
      <c r="J217" s="10" t="inlineStr">
        <is>
          <t>Preliminary (100M run)</t>
        </is>
      </c>
      <c r="K217" t="inlineStr"/>
    </row>
    <row r="218">
      <c r="A218" t="inlineStr">
        <is>
          <t>value</t>
        </is>
      </c>
      <c r="B218" t="inlineStr">
        <is>
          <t>Best Snake vs no prefetching</t>
        </is>
      </c>
      <c r="C218" t="inlineStr">
        <is>
          <t>histo | our 7 apps</t>
        </is>
      </c>
      <c r="D218" t="inlineStr">
        <is>
          <t>IPC, no prefetching</t>
        </is>
      </c>
      <c r="E218" s="14" t="n">
        <v>724.3528</v>
      </c>
      <c r="F218" t="inlineStr">
        <is>
          <t>sim_run_snake_skc/qv100_7apps/runs/parboil-histo/_i___data_default_input_img_bin__o_ref_bmp____20_4/QV100-SASS-100M_INSN</t>
        </is>
      </c>
      <c r="G218" t="inlineStr">
        <is>
          <t>gpu_tot_ipc, no prefetching</t>
        </is>
      </c>
      <c r="H218" t="inlineStr">
        <is>
          <t>accelsim-commit-5d55de3_modified_0.0 gpgpu-sim_git-commit-9622012e_modified_0.0</t>
        </is>
      </c>
      <c r="I218" t="inlineStr"/>
      <c r="J218" s="10" t="inlineStr">
        <is>
          <t>Preliminary (100M run)</t>
        </is>
      </c>
      <c r="K218" t="inlineStr"/>
    </row>
    <row r="219">
      <c r="A219" t="inlineStr">
        <is>
          <t>value</t>
        </is>
      </c>
      <c r="B219" t="inlineStr">
        <is>
          <t>Best Snake vs no prefetching</t>
        </is>
      </c>
      <c r="C219" t="inlineStr">
        <is>
          <t>histo | our 7 apps</t>
        </is>
      </c>
      <c r="D219" t="inlineStr">
        <is>
          <t>IPC, SK_R0_D0</t>
        </is>
      </c>
      <c r="E219" s="14" t="n">
        <v>715.3907</v>
      </c>
      <c r="F219" t="inlineStr">
        <is>
          <t>sim_run_snake_skm/qv100/runs/parboil-histo/_i___data_default_input_img_bin__o_ref_bmp____20_4/QV100-SASS-100M_INSN-SNAKE-SNAKE_FP1-SK_SC-SK_SC_CTA-SNAKE_HEAD64-SNAKE_MQR0-SNAKE_DM0</t>
        </is>
      </c>
      <c r="G219" t="inlineStr">
        <is>
          <t>gpu_tot_ipc, SK_R0_D0</t>
        </is>
      </c>
      <c r="H219" t="inlineStr">
        <is>
          <t>accelsim-commit-5d55de3_modified_0.0 gpgpu-sim_git-commit-9622012e_modified_0.0</t>
        </is>
      </c>
      <c r="I219" t="inlineStr"/>
      <c r="J219" s="10" t="inlineStr">
        <is>
          <t>Preliminary (100M run)</t>
        </is>
      </c>
      <c r="K219" t="inlineStr"/>
    </row>
    <row r="220">
      <c r="A220" t="inlineStr">
        <is>
          <t>value</t>
        </is>
      </c>
      <c r="B220" t="inlineStr">
        <is>
          <t>Best Snake vs no prefetching</t>
        </is>
      </c>
      <c r="C220" t="inlineStr">
        <is>
          <t>histo | our 7 apps</t>
        </is>
      </c>
      <c r="D220" t="inlineStr">
        <is>
          <t>IPC gain</t>
        </is>
      </c>
      <c r="E220" s="14" t="n">
        <v>-1.237256209957349</v>
      </c>
      <c r="F220" t="inlineStr">
        <is>
          <t>sim_run_snake_skm/qv100/runs/parboil-histo/_i___data_default_input_img_bin__o_ref_bmp____20_4/QV100-SASS-100M_INSN-SNAKE-SNAKE_FP1-SK_SC-SK_SC_CTA-SNAKE_HEAD64-SNAKE_MQR0-SNAKE_DM0; sim_run_snake_skc/qv100_7apps/runs/parboil-histo/_i___data_default_input_img_bin__o_ref_bmp____20_4/QV100-SASS-100M_INSN</t>
        </is>
      </c>
      <c r="G220" t="inlineStr">
        <is>
          <t>gpu_tot_ipc SK_R0_D0 / no prefetching - 1</t>
        </is>
      </c>
      <c r="H220" t="inlineStr">
        <is>
          <t>accelsim-commit-5d55de3_modified_0.0 gpgpu-sim_git-commit-9622012e_modified_0.0</t>
        </is>
      </c>
      <c r="I220">
        <f> -1.24 (SK_match_qv100.md Per workload)</f>
        <v/>
      </c>
      <c r="J220" s="10" t="inlineStr">
        <is>
          <t>Preliminary (100M run)</t>
        </is>
      </c>
      <c r="K220" t="inlineStr"/>
    </row>
    <row r="221">
      <c r="A221" t="inlineStr">
        <is>
          <t>value</t>
        </is>
      </c>
      <c r="B221" t="inlineStr">
        <is>
          <t>Best Snake vs no prefetching</t>
        </is>
      </c>
      <c r="C221" t="inlineStr">
        <is>
          <t>srad_v1 | our 7 apps</t>
        </is>
      </c>
      <c r="D221" t="inlineStr">
        <is>
          <t>IPC, no prefetching</t>
        </is>
      </c>
      <c r="E221" s="14" t="n">
        <v>1416.7579</v>
      </c>
      <c r="F221" t="inlineStr">
        <is>
          <t>sim_run_snake_skc/qv100_7apps/runs/srad_v1-rodinia-3.1/100_0_5_502_458/QV100-SASS-100M_INSN</t>
        </is>
      </c>
      <c r="G221" t="inlineStr">
        <is>
          <t>gpu_tot_ipc, no prefetching</t>
        </is>
      </c>
      <c r="H221" t="inlineStr">
        <is>
          <t>accelsim-commit-5d55de3_modified_0.0 gpgpu-sim_git-commit-9622012e_modified_0.0</t>
        </is>
      </c>
      <c r="I221" t="inlineStr"/>
      <c r="J221" s="10" t="inlineStr">
        <is>
          <t>Preliminary (100M run)</t>
        </is>
      </c>
      <c r="K221" t="inlineStr"/>
    </row>
    <row r="222">
      <c r="A222" t="inlineStr">
        <is>
          <t>value</t>
        </is>
      </c>
      <c r="B222" t="inlineStr">
        <is>
          <t>Best Snake vs no prefetching</t>
        </is>
      </c>
      <c r="C222" t="inlineStr">
        <is>
          <t>srad_v1 | our 7 apps</t>
        </is>
      </c>
      <c r="D222" t="inlineStr">
        <is>
          <t>IPC, SK_R0_D0</t>
        </is>
      </c>
      <c r="E222" s="14" t="n">
        <v>1397.1376</v>
      </c>
      <c r="F222" t="inlineStr">
        <is>
          <t>sim_run_snake_skm/qv100/runs/srad_v1-rodinia-3.1/100_0_5_502_458/QV100-SASS-100M_INSN-SNAKE-SNAKE_FP1-SK_SC-SK_SC_CTA-SNAKE_HEAD64-SNAKE_MQR0-SNAKE_DM0</t>
        </is>
      </c>
      <c r="G222" t="inlineStr">
        <is>
          <t>gpu_tot_ipc, SK_R0_D0</t>
        </is>
      </c>
      <c r="H222" t="inlineStr">
        <is>
          <t>accelsim-commit-5d55de3_modified_0.0 gpgpu-sim_git-commit-9622012e_modified_0.0</t>
        </is>
      </c>
      <c r="I222" t="inlineStr"/>
      <c r="J222" s="10" t="inlineStr">
        <is>
          <t>Preliminary (100M run)</t>
        </is>
      </c>
      <c r="K222" t="inlineStr"/>
    </row>
    <row r="223">
      <c r="A223" t="inlineStr">
        <is>
          <t>value</t>
        </is>
      </c>
      <c r="B223" t="inlineStr">
        <is>
          <t>Best Snake vs no prefetching</t>
        </is>
      </c>
      <c r="C223" t="inlineStr">
        <is>
          <t>srad_v1 | our 7 apps</t>
        </is>
      </c>
      <c r="D223" t="inlineStr">
        <is>
          <t>IPC gain</t>
        </is>
      </c>
      <c r="E223" s="14" t="n">
        <v>-1.384873167109213</v>
      </c>
      <c r="F223" t="inlineStr">
        <is>
          <t>sim_run_snake_skm/qv100/runs/srad_v1-rodinia-3.1/100_0_5_502_458/QV100-SASS-100M_INSN-SNAKE-SNAKE_FP1-SK_SC-SK_SC_CTA-SNAKE_HEAD64-SNAKE_MQR0-SNAKE_DM0; sim_run_snake_skc/qv100_7apps/runs/srad_v1-rodinia-3.1/100_0_5_502_458/QV100-SASS-100M_INSN</t>
        </is>
      </c>
      <c r="G223" t="inlineStr">
        <is>
          <t>gpu_tot_ipc SK_R0_D0 / no prefetching - 1</t>
        </is>
      </c>
      <c r="H223" t="inlineStr">
        <is>
          <t>accelsim-commit-5d55de3_modified_0.0 gpgpu-sim_git-commit-9622012e_modified_0.0</t>
        </is>
      </c>
      <c r="I223">
        <f> -1.38 (SK_match_qv100.md Per workload)</f>
        <v/>
      </c>
      <c r="J223" s="10" t="inlineStr">
        <is>
          <t>Preliminary (100M run)</t>
        </is>
      </c>
      <c r="K223" t="inlineStr"/>
    </row>
    <row r="224">
      <c r="A224" t="inlineStr">
        <is>
          <t>value</t>
        </is>
      </c>
      <c r="B224" t="inlineStr">
        <is>
          <t>Best Snake vs no prefetching</t>
        </is>
      </c>
      <c r="C224" t="inlineStr">
        <is>
          <t>particlefilter_naive | SnakeCharmer apps</t>
        </is>
      </c>
      <c r="D224" t="inlineStr">
        <is>
          <t>IPC, no prefetching</t>
        </is>
      </c>
      <c r="E224" s="14" t="n">
        <v>39.911</v>
      </c>
      <c r="F224" t="inlineStr">
        <is>
          <t>sim_run_snake_skc/qv100_sc/runs/particlefilter_naive-rodinia-3.1/_x_128__y_128__z_10__np_1000/QV100-SASS-100M_INSN</t>
        </is>
      </c>
      <c r="G224" t="inlineStr">
        <is>
          <t>gpu_tot_ipc, no prefetching</t>
        </is>
      </c>
      <c r="H224" t="inlineStr">
        <is>
          <t>accelsim-commit-5d55de3_modified_0.0 gpgpu-sim_git-commit-9622012e_modified_0.0</t>
        </is>
      </c>
      <c r="I224" t="inlineStr"/>
      <c r="J224" s="10" t="inlineStr">
        <is>
          <t>Preliminary (100M run)</t>
        </is>
      </c>
      <c r="K224" t="inlineStr"/>
    </row>
    <row r="225">
      <c r="A225" t="inlineStr">
        <is>
          <t>value</t>
        </is>
      </c>
      <c r="B225" t="inlineStr">
        <is>
          <t>Best Snake vs no prefetching</t>
        </is>
      </c>
      <c r="C225" t="inlineStr">
        <is>
          <t>particlefilter_naive | SnakeCharmer apps</t>
        </is>
      </c>
      <c r="D225" t="inlineStr">
        <is>
          <t>IPC, SK_R0_D0</t>
        </is>
      </c>
      <c r="E225" s="14" t="n">
        <v>71.2229</v>
      </c>
      <c r="F225" t="inlineStr">
        <is>
          <t>sim_run_snake_skm/qv100/runs/particlefilter_naive-rodinia-3.1/_x_128__y_128__z_10__np_1000/QV100-SASS-100M_INSN-SNAKE-SNAKE_FP1-SK_SC-SK_SC_CTA-SNAKE_HEAD64-SNAKE_MQR0-SNAKE_DM0</t>
        </is>
      </c>
      <c r="G225" t="inlineStr">
        <is>
          <t>gpu_tot_ipc, SK_R0_D0</t>
        </is>
      </c>
      <c r="H225" t="inlineStr">
        <is>
          <t>accelsim-commit-5d55de3_modified_0.0 gpgpu-sim_git-commit-9622012e_modified_0.0</t>
        </is>
      </c>
      <c r="I225" t="inlineStr"/>
      <c r="J225" s="10" t="inlineStr">
        <is>
          <t>Preliminary (100M run)</t>
        </is>
      </c>
      <c r="K225" t="inlineStr"/>
    </row>
    <row r="226">
      <c r="A226" t="inlineStr">
        <is>
          <t>value</t>
        </is>
      </c>
      <c r="B226" t="inlineStr">
        <is>
          <t>Best Snake vs no prefetching</t>
        </is>
      </c>
      <c r="C226" t="inlineStr">
        <is>
          <t>particlefilter_naive | SnakeCharmer apps</t>
        </is>
      </c>
      <c r="D226" t="inlineStr">
        <is>
          <t>IPC gain</t>
        </is>
      </c>
      <c r="E226" s="14" t="n">
        <v>78.4543108416226</v>
      </c>
      <c r="F226" t="inlineStr">
        <is>
          <t>sim_run_snake_skm/qv100/runs/particlefilter_naive-rodinia-3.1/_x_128__y_128__z_10__np_1000/QV100-SASS-100M_INSN-SNAKE-SNAKE_FP1-SK_SC-SK_SC_CTA-SNAKE_HEAD64-SNAKE_MQR0-SNAKE_DM0; sim_run_snake_skc/qv100_sc/runs/particlefilter_naive-rodinia-3.1/_x_128__y_128__z_10__np_1000/QV100-SASS-100M_INSN</t>
        </is>
      </c>
      <c r="G226" t="inlineStr">
        <is>
          <t>gpu_tot_ipc SK_R0_D0 / no prefetching - 1</t>
        </is>
      </c>
      <c r="H226" t="inlineStr">
        <is>
          <t>accelsim-commit-5d55de3_modified_0.0 gpgpu-sim_git-commit-9622012e_modified_0.0</t>
        </is>
      </c>
      <c r="I226">
        <f> 78.45 (SK_match_qv100.md Per workload)</f>
        <v/>
      </c>
      <c r="J226" s="10" t="inlineStr">
        <is>
          <t>Preliminary (100M run)</t>
        </is>
      </c>
      <c r="K226" t="inlineStr"/>
    </row>
    <row r="227">
      <c r="A227" t="inlineStr">
        <is>
          <t>value</t>
        </is>
      </c>
      <c r="B227" t="inlineStr">
        <is>
          <t>Best Snake vs no prefetching</t>
        </is>
      </c>
      <c r="C227" t="inlineStr">
        <is>
          <t>particlefilter_float | SnakeCharmer apps</t>
        </is>
      </c>
      <c r="D227" t="inlineStr">
        <is>
          <t>IPC, no prefetching</t>
        </is>
      </c>
      <c r="E227" s="14" t="n">
        <v>66.0637</v>
      </c>
      <c r="F227" t="inlineStr">
        <is>
          <t>sim_run_snake_skc/qv100_sc/runs/particlefilter_float-rodinia-3.1/_x_128__y_128__z_10__np_1000/QV100-SASS-100M_INSN</t>
        </is>
      </c>
      <c r="G227" t="inlineStr">
        <is>
          <t>gpu_tot_ipc, no prefetching</t>
        </is>
      </c>
      <c r="H227" t="inlineStr">
        <is>
          <t>accelsim-commit-5d55de3_modified_0.0 gpgpu-sim_git-commit-9622012e_modified_0.0</t>
        </is>
      </c>
      <c r="I227" t="inlineStr"/>
      <c r="J227" s="10" t="inlineStr">
        <is>
          <t>Preliminary (100M run)</t>
        </is>
      </c>
      <c r="K227" t="inlineStr"/>
    </row>
    <row r="228">
      <c r="A228" t="inlineStr">
        <is>
          <t>value</t>
        </is>
      </c>
      <c r="B228" t="inlineStr">
        <is>
          <t>Best Snake vs no prefetching</t>
        </is>
      </c>
      <c r="C228" t="inlineStr">
        <is>
          <t>particlefilter_float | SnakeCharmer apps</t>
        </is>
      </c>
      <c r="D228" t="inlineStr">
        <is>
          <t>IPC, SK_R0_D0</t>
        </is>
      </c>
      <c r="E228" s="14" t="n">
        <v>72.0694</v>
      </c>
      <c r="F228" t="inlineStr">
        <is>
          <t>sim_run_snake_skm/qv100/runs/particlefilter_float-rodinia-3.1/_x_128__y_128__z_10__np_1000/QV100-SASS-100M_INSN-SNAKE-SNAKE_FP1-SK_SC-SK_SC_CTA-SNAKE_HEAD64-SNAKE_MQR0-SNAKE_DM0</t>
        </is>
      </c>
      <c r="G228" t="inlineStr">
        <is>
          <t>gpu_tot_ipc, SK_R0_D0</t>
        </is>
      </c>
      <c r="H228" t="inlineStr">
        <is>
          <t>accelsim-commit-5d55de3_modified_0.0 gpgpu-sim_git-commit-9622012e_modified_0.0</t>
        </is>
      </c>
      <c r="I228" t="inlineStr"/>
      <c r="J228" s="10" t="inlineStr">
        <is>
          <t>Preliminary (100M run)</t>
        </is>
      </c>
      <c r="K228" t="inlineStr"/>
    </row>
    <row r="229">
      <c r="A229" t="inlineStr">
        <is>
          <t>value</t>
        </is>
      </c>
      <c r="B229" t="inlineStr">
        <is>
          <t>Best Snake vs no prefetching</t>
        </is>
      </c>
      <c r="C229" t="inlineStr">
        <is>
          <t>particlefilter_float | SnakeCharmer apps</t>
        </is>
      </c>
      <c r="D229" t="inlineStr">
        <is>
          <t>IPC gain</t>
        </is>
      </c>
      <c r="E229" s="14" t="n">
        <v>9.090771482675052</v>
      </c>
      <c r="F229" t="inlineStr">
        <is>
          <t>sim_run_snake_skm/qv100/runs/particlefilter_float-rodinia-3.1/_x_128__y_128__z_10__np_1000/QV100-SASS-100M_INSN-SNAKE-SNAKE_FP1-SK_SC-SK_SC_CTA-SNAKE_HEAD64-SNAKE_MQR0-SNAKE_DM0; sim_run_snake_skc/qv100_sc/runs/particlefilter_float-rodinia-3.1/_x_128__y_128__z_10__np_1000/QV100-SASS-100M_INSN</t>
        </is>
      </c>
      <c r="G229" t="inlineStr">
        <is>
          <t>gpu_tot_ipc SK_R0_D0 / no prefetching - 1</t>
        </is>
      </c>
      <c r="H229" t="inlineStr">
        <is>
          <t>accelsim-commit-5d55de3_modified_0.0 gpgpu-sim_git-commit-9622012e_modified_0.0</t>
        </is>
      </c>
      <c r="I229">
        <f> 9.09 (SK_match_qv100.md Per workload)</f>
        <v/>
      </c>
      <c r="J229" s="10" t="inlineStr">
        <is>
          <t>Preliminary (100M run)</t>
        </is>
      </c>
      <c r="K229" t="inlineStr"/>
    </row>
    <row r="230">
      <c r="A230" t="inlineStr">
        <is>
          <t>value</t>
        </is>
      </c>
      <c r="B230" t="inlineStr">
        <is>
          <t>Best Snake vs no prefetching</t>
        </is>
      </c>
      <c r="C230" t="inlineStr">
        <is>
          <t>heartwall † | SnakeCharmer apps</t>
        </is>
      </c>
      <c r="D230" t="inlineStr">
        <is>
          <t>IPC, no prefetching</t>
        </is>
      </c>
      <c r="E230" s="14" t="n">
        <v>763.9442</v>
      </c>
      <c r="F230" t="inlineStr">
        <is>
          <t>sim_run_snake_skc/qv100_sc/runs/heartwall-rodinia-2.0-ft/__data_test_avi_1___data_result_1_txt/QV100-SASS-100M_INSN</t>
        </is>
      </c>
      <c r="G230" t="inlineStr">
        <is>
          <t>gpu_tot_ipc, no prefetching</t>
        </is>
      </c>
      <c r="H230" t="inlineStr">
        <is>
          <t>accelsim-commit-5d55de3_modified_0.0 gpgpu-sim_git-commit-9622012e_modified_0.0</t>
        </is>
      </c>
      <c r="I230" t="inlineStr"/>
      <c r="J230" s="10" t="inlineStr">
        <is>
          <t>Preliminary (100M run)</t>
        </is>
      </c>
      <c r="K230" t="inlineStr"/>
    </row>
    <row r="231">
      <c r="A231" t="inlineStr">
        <is>
          <t>value</t>
        </is>
      </c>
      <c r="B231" t="inlineStr">
        <is>
          <t>Best Snake vs no prefetching</t>
        </is>
      </c>
      <c r="C231" t="inlineStr">
        <is>
          <t>heartwall † | SnakeCharmer apps</t>
        </is>
      </c>
      <c r="D231" t="inlineStr">
        <is>
          <t>IPC, SK_R0_D0</t>
        </is>
      </c>
      <c r="E231" s="14" t="n">
        <v>762.9307</v>
      </c>
      <c r="F231" t="inlineStr">
        <is>
          <t>sim_run_snake_skm/qv100/runs/heartwall-rodinia-2.0-ft/__data_test_avi_1___data_result_1_txt/QV100-SASS-100M_INSN-SNAKE-SNAKE_FP1-SK_SC-SK_SC_CTA-SNAKE_HEAD64-SNAKE_MQR0-SNAKE_DM0</t>
        </is>
      </c>
      <c r="G231" t="inlineStr">
        <is>
          <t>gpu_tot_ipc, SK_R0_D0</t>
        </is>
      </c>
      <c r="H231" t="inlineStr">
        <is>
          <t>accelsim-commit-5d55de3_modified_0.0 gpgpu-sim_git-commit-9622012e_modified_0.0</t>
        </is>
      </c>
      <c r="I231" t="inlineStr"/>
      <c r="J231" s="10" t="inlineStr">
        <is>
          <t>Preliminary (100M run)</t>
        </is>
      </c>
      <c r="K231" t="inlineStr"/>
    </row>
    <row r="232">
      <c r="A232" t="inlineStr">
        <is>
          <t>value</t>
        </is>
      </c>
      <c r="B232" t="inlineStr">
        <is>
          <t>Best Snake vs no prefetching</t>
        </is>
      </c>
      <c r="C232" t="inlineStr">
        <is>
          <t>heartwall † | SnakeCharmer apps</t>
        </is>
      </c>
      <c r="D232" t="inlineStr">
        <is>
          <t>IPC gain</t>
        </is>
      </c>
      <c r="E232" s="14" t="n">
        <v>-0.1326667575982654</v>
      </c>
      <c r="F232" t="inlineStr">
        <is>
          <t>sim_run_snake_skm/qv100/runs/heartwall-rodinia-2.0-ft/__data_test_avi_1___data_result_1_txt/QV100-SASS-100M_INSN-SNAKE-SNAKE_FP1-SK_SC-SK_SC_CTA-SNAKE_HEAD64-SNAKE_MQR0-SNAKE_DM0; sim_run_snake_skc/qv100_sc/runs/heartwall-rodinia-2.0-ft/__data_test_avi_1___data_result_1_txt/QV100-SASS-100M_INSN</t>
        </is>
      </c>
      <c r="G232" t="inlineStr">
        <is>
          <t>gpu_tot_ipc SK_R0_D0 / no prefetching - 1</t>
        </is>
      </c>
      <c r="H232" t="inlineStr">
        <is>
          <t>accelsim-commit-5d55de3_modified_0.0 gpgpu-sim_git-commit-9622012e_modified_0.0</t>
        </is>
      </c>
      <c r="I232">
        <f> -0.13 (SK_match_qv100.md Per workload)</f>
        <v/>
      </c>
      <c r="J232" s="10" t="inlineStr">
        <is>
          <t>Preliminary (100M run)</t>
        </is>
      </c>
      <c r="K232" t="inlineStr"/>
    </row>
    <row r="233">
      <c r="A233" t="inlineStr">
        <is>
          <t>value</t>
        </is>
      </c>
      <c r="B233" t="inlineStr">
        <is>
          <t>Best Snake vs no prefetching</t>
        </is>
      </c>
      <c r="C233" t="inlineStr">
        <is>
          <t>streamcluster † | SnakeCharmer apps</t>
        </is>
      </c>
      <c r="D233" t="inlineStr">
        <is>
          <t>IPC, no prefetching</t>
        </is>
      </c>
      <c r="E233" s="14" t="n">
        <v>17.7437</v>
      </c>
      <c r="F233" t="inlineStr">
        <is>
          <t>sim_run_snake_skc/qv100_sc/runs/streamcluster-rodinia-2.0-ft/3_6_16_1024_1024_100_none_output_txt_1___data_result_3_6_16_1024_1024_100_none_1_txt/QV100-SASS-100M_INSN</t>
        </is>
      </c>
      <c r="G233" t="inlineStr">
        <is>
          <t>gpu_tot_ipc, no prefetching</t>
        </is>
      </c>
      <c r="H233" t="inlineStr">
        <is>
          <t>accelsim-commit-5d55de3_modified_0.0 gpgpu-sim_git-commit-9622012e_modified_0.0</t>
        </is>
      </c>
      <c r="I233" t="inlineStr"/>
      <c r="J233" s="10" t="inlineStr">
        <is>
          <t>Preliminary (100M run)</t>
        </is>
      </c>
      <c r="K233" t="inlineStr"/>
    </row>
    <row r="234">
      <c r="A234" t="inlineStr">
        <is>
          <t>value</t>
        </is>
      </c>
      <c r="B234" t="inlineStr">
        <is>
          <t>Best Snake vs no prefetching</t>
        </is>
      </c>
      <c r="C234" t="inlineStr">
        <is>
          <t>streamcluster † | SnakeCharmer apps</t>
        </is>
      </c>
      <c r="D234" t="inlineStr">
        <is>
          <t>IPC, SK_R0_D0</t>
        </is>
      </c>
      <c r="E234" s="14" t="n">
        <v>17.6979</v>
      </c>
      <c r="F234" t="inlineStr">
        <is>
          <t>sim_run_snake_skm/qv100/runs/streamcluster-rodinia-2.0-ft/3_6_16_1024_1024_100_none_output_txt_1___data_result_3_6_16_1024_1024_100_none_1_txt/QV100-SASS-100M_INSN-SNAKE-SNAKE_FP1-SK_SC-SK_SC_CTA-SNAKE_HEAD64-SNAKE_MQR0-SNAKE_DM0</t>
        </is>
      </c>
      <c r="G234" t="inlineStr">
        <is>
          <t>gpu_tot_ipc, SK_R0_D0</t>
        </is>
      </c>
      <c r="H234" t="inlineStr">
        <is>
          <t>accelsim-commit-5d55de3_modified_0.0 gpgpu-sim_git-commit-9622012e_modified_0.0</t>
        </is>
      </c>
      <c r="I234" t="inlineStr"/>
      <c r="J234" s="10" t="inlineStr">
        <is>
          <t>Preliminary (100M run)</t>
        </is>
      </c>
      <c r="K234" t="inlineStr"/>
    </row>
    <row r="235">
      <c r="A235" t="inlineStr">
        <is>
          <t>value</t>
        </is>
      </c>
      <c r="B235" t="inlineStr">
        <is>
          <t>Best Snake vs no prefetching</t>
        </is>
      </c>
      <c r="C235" t="inlineStr">
        <is>
          <t>streamcluster † | SnakeCharmer apps</t>
        </is>
      </c>
      <c r="D235" t="inlineStr">
        <is>
          <t>IPC gain</t>
        </is>
      </c>
      <c r="E235" s="14" t="n">
        <v>-0.2581197833597226</v>
      </c>
      <c r="F235" t="inlineStr">
        <is>
          <t>sim_run_snake_skm/qv100/runs/streamcluster-rodinia-2.0-ft/3_6_16_1024_1024_100_none_output_txt_1___data_result_3_6_16_1024_1024_100_none_1_txt/QV100-SASS-100M_INSN-SNAKE-SNAKE_FP1-SK_SC-SK_SC_CTA-SNAKE_HEAD64-SNAKE_MQR0-SNAKE_DM0; sim_run_snake_skc/qv100_sc/runs/streamcluster-rodinia-2.0-ft/3_6_16_1024_1024_100_none_output_txt_1___data_result_3_6_16_1024_1024_100_none_1_txt/QV100-SASS-100M_INSN</t>
        </is>
      </c>
      <c r="G235" t="inlineStr">
        <is>
          <t>gpu_tot_ipc SK_R0_D0 / no prefetching - 1</t>
        </is>
      </c>
      <c r="H235" t="inlineStr">
        <is>
          <t>accelsim-commit-5d55de3_modified_0.0 gpgpu-sim_git-commit-9622012e_modified_0.0</t>
        </is>
      </c>
      <c r="I235">
        <f> -0.26 (SK_match_qv100.md Per workload)</f>
        <v/>
      </c>
      <c r="J235" s="10" t="inlineStr">
        <is>
          <t>Preliminary (100M run)</t>
        </is>
      </c>
      <c r="K235" t="inlineStr"/>
    </row>
    <row r="236">
      <c r="A236" t="inlineStr">
        <is>
          <t>value</t>
        </is>
      </c>
      <c r="B236" t="inlineStr">
        <is>
          <t>Best Snake vs no prefetching</t>
        </is>
      </c>
      <c r="C236" t="inlineStr">
        <is>
          <t>b+tree | SnakeCharmer apps</t>
        </is>
      </c>
      <c r="D236" t="inlineStr">
        <is>
          <t>IPC, no prefetching</t>
        </is>
      </c>
      <c r="E236" s="14" t="n">
        <v>3431.8684</v>
      </c>
      <c r="F236" t="inlineStr">
        <is>
          <t>sim_run_snake_skc/qv100_sc/runs/b+tree-rodinia-3.1/file___data_mil_txt_command___data_command_txt/QV100-SASS-100M_INSN</t>
        </is>
      </c>
      <c r="G236" t="inlineStr">
        <is>
          <t>gpu_tot_ipc, no prefetching</t>
        </is>
      </c>
      <c r="H236" t="inlineStr">
        <is>
          <t>accelsim-commit-5d55de3_modified_0.0 gpgpu-sim_git-commit-9622012e_modified_0.0</t>
        </is>
      </c>
      <c r="I236" t="inlineStr"/>
      <c r="J236" s="10" t="inlineStr">
        <is>
          <t>Preliminary (100M run)</t>
        </is>
      </c>
      <c r="K236" t="inlineStr"/>
    </row>
    <row r="237">
      <c r="A237" t="inlineStr">
        <is>
          <t>value</t>
        </is>
      </c>
      <c r="B237" t="inlineStr">
        <is>
          <t>Best Snake vs no prefetching</t>
        </is>
      </c>
      <c r="C237" t="inlineStr">
        <is>
          <t>b+tree | SnakeCharmer apps</t>
        </is>
      </c>
      <c r="D237" t="inlineStr">
        <is>
          <t>IPC, SK_R0_D0</t>
        </is>
      </c>
      <c r="E237" s="14" t="n">
        <v>3401.3352</v>
      </c>
      <c r="F237" t="inlineStr">
        <is>
          <t>sim_run_snake_skm/qv100/runs/b+tree-rodinia-3.1/file___data_mil_txt_command___data_command_txt/QV100-SASS-100M_INSN-SNAKE-SNAKE_FP1-SK_SC-SK_SC_CTA-SNAKE_HEAD64-SNAKE_MQR0-SNAKE_DM0</t>
        </is>
      </c>
      <c r="G237" t="inlineStr">
        <is>
          <t>gpu_tot_ipc, SK_R0_D0</t>
        </is>
      </c>
      <c r="H237" t="inlineStr">
        <is>
          <t>accelsim-commit-5d55de3_modified_0.0 gpgpu-sim_git-commit-9622012e_modified_0.0</t>
        </is>
      </c>
      <c r="I237" t="inlineStr"/>
      <c r="J237" s="10" t="inlineStr">
        <is>
          <t>Preliminary (100M run)</t>
        </is>
      </c>
      <c r="K237" t="inlineStr"/>
    </row>
    <row r="238">
      <c r="A238" t="inlineStr">
        <is>
          <t>value</t>
        </is>
      </c>
      <c r="B238" t="inlineStr">
        <is>
          <t>Best Snake vs no prefetching</t>
        </is>
      </c>
      <c r="C238" t="inlineStr">
        <is>
          <t>b+tree | SnakeCharmer apps</t>
        </is>
      </c>
      <c r="D238" t="inlineStr">
        <is>
          <t>IPC gain</t>
        </is>
      </c>
      <c r="E238" s="14" t="n">
        <v>-0.8896961200493547</v>
      </c>
      <c r="F238" t="inlineStr">
        <is>
          <t>sim_run_snake_skm/qv100/runs/b+tree-rodinia-3.1/file___data_mil_txt_command___data_command_txt/QV100-SASS-100M_INSN-SNAKE-SNAKE_FP1-SK_SC-SK_SC_CTA-SNAKE_HEAD64-SNAKE_MQR0-SNAKE_DM0; sim_run_snake_skc/qv100_sc/runs/b+tree-rodinia-3.1/file___data_mil_txt_command___data_command_txt/QV100-SASS-100M_INSN</t>
        </is>
      </c>
      <c r="G238" t="inlineStr">
        <is>
          <t>gpu_tot_ipc SK_R0_D0 / no prefetching - 1</t>
        </is>
      </c>
      <c r="H238" t="inlineStr">
        <is>
          <t>accelsim-commit-5d55de3_modified_0.0 gpgpu-sim_git-commit-9622012e_modified_0.0</t>
        </is>
      </c>
      <c r="I238">
        <f> -0.89 (SK_match_qv100.md Per workload)</f>
        <v/>
      </c>
      <c r="J238" s="10" t="inlineStr">
        <is>
          <t>Preliminary (100M run)</t>
        </is>
      </c>
      <c r="K238" t="inlineStr"/>
    </row>
    <row r="239">
      <c r="A239" t="inlineStr">
        <is>
          <t>value</t>
        </is>
      </c>
      <c r="B239" t="inlineStr">
        <is>
          <t>Best Snake vs no prefetching</t>
        </is>
      </c>
      <c r="C239" t="inlineStr">
        <is>
          <t>GMEAN, all 14 workloads | summary</t>
        </is>
      </c>
      <c r="D239" t="inlineStr">
        <is>
          <t>IPC gain</t>
        </is>
      </c>
      <c r="E239" s="14" t="n">
        <v>4.774931215940614</v>
      </c>
      <c r="F239" t="inlineStr">
        <is>
          <t>sim_run_snake_skm/qv100/runs/*/*/QV100-SASS-100M_INSN-SNAKE-SNAKE_FP1-SK_SC-SK_SC_CTA-SNAKE_HEAD64-SNAKE_MQR0-SNAKE_DM0 (14 jobs); no prefetching: sim_run_snake_skc/qv100_7apps + sim_run_snake_skc/qv100_sc/runs/*/*/QV100-SASS-100M_INSN</t>
        </is>
      </c>
      <c r="G239" t="inlineStr">
        <is>
          <t>GMEAN over 14 workloads of gpu_tot_ipc SK_R0_D0 / no prefetching - 1</t>
        </is>
      </c>
      <c r="H239" t="inlineStr">
        <is>
          <t>accelsim-commit-5d55de3_modified_0.0 gpgpu-sim_git-commit-9622012e_modified_0.0</t>
        </is>
      </c>
      <c r="I239">
        <f> 4.77 (SK_match_qv100.md Means (all))</f>
        <v/>
      </c>
      <c r="J239" s="10" t="inlineStr">
        <is>
          <t>Preliminary (100M run)</t>
        </is>
      </c>
      <c r="K239" t="inlineStr"/>
    </row>
    <row r="240">
      <c r="A240" t="inlineStr">
        <is>
          <t>value</t>
        </is>
      </c>
      <c r="B240" t="inlineStr">
        <is>
          <t>Best Snake vs no prefetching</t>
        </is>
      </c>
      <c r="C240" t="inlineStr">
        <is>
          <t>GMEAN without particlefilter_naive (13) | summary</t>
        </is>
      </c>
      <c r="D240" t="inlineStr">
        <is>
          <t>IPC gain</t>
        </is>
      </c>
      <c r="E240" s="14" t="n">
        <v>0.5697592800577356</v>
      </c>
      <c r="F240" t="inlineStr">
        <is>
          <t>sim_run_snake_skm/qv100/runs/*/*/QV100-SASS-100M_INSN-SNAKE-SNAKE_FP1-SK_SC-SK_SC_CTA-SNAKE_HEAD64-SNAKE_MQR0-SNAKE_DM0 (13 jobs); no prefetching: sim_run_snake_skc/qv100_7apps + sim_run_snake_skc/qv100_sc/runs/*/*/QV100-SASS-100M_INSN</t>
        </is>
      </c>
      <c r="G240" t="inlineStr">
        <is>
          <t>GMEAN over 13 workloads of gpu_tot_ipc SK_R0_D0 / no prefetching - 1</t>
        </is>
      </c>
      <c r="H240" t="inlineStr">
        <is>
          <t>accelsim-commit-5d55de3_modified_0.0 gpgpu-sim_git-commit-9622012e_modified_0.0</t>
        </is>
      </c>
      <c r="I240" t="inlineStr"/>
      <c r="J240" s="10" t="inlineStr">
        <is>
          <t>Preliminary (100M run)</t>
        </is>
      </c>
      <c r="K240" t="inlineStr"/>
    </row>
    <row r="241">
      <c r="A241" t="inlineStr">
        <is>
          <t>value</t>
        </is>
      </c>
      <c r="B241" t="inlineStr">
        <is>
          <t>Best Snake vs no prefetching</t>
        </is>
      </c>
      <c r="C241" t="inlineStr">
        <is>
          <t>GMEAN, our 7 apps (9 workloads) | summary</t>
        </is>
      </c>
      <c r="D241" t="inlineStr">
        <is>
          <t>IPC gain</t>
        </is>
      </c>
      <c r="E241" s="14" t="n">
        <v>-0.003363932596744945</v>
      </c>
      <c r="F241" t="inlineStr">
        <is>
          <t>sim_run_snake_skm/qv100/runs/*/*/QV100-SASS-100M_INSN-SNAKE-SNAKE_FP1-SK_SC-SK_SC_CTA-SNAKE_HEAD64-SNAKE_MQR0-SNAKE_DM0 (9 jobs); no prefetching: sim_run_snake_skc/qv100_7apps + sim_run_snake_skc/qv100_sc/runs/*/*/QV100-SASS-100M_INSN</t>
        </is>
      </c>
      <c r="G241" t="inlineStr">
        <is>
          <t>GMEAN over 9 workloads of gpu_tot_ipc SK_R0_D0 / no prefetching - 1</t>
        </is>
      </c>
      <c r="H241" t="inlineStr">
        <is>
          <t>accelsim-commit-5d55de3_modified_0.0 gpgpu-sim_git-commit-9622012e_modified_0.0</t>
        </is>
      </c>
      <c r="I241">
        <f> -0.0 (SK_match_qv100.md Means (7 apps))</f>
        <v/>
      </c>
      <c r="J241" s="10" t="inlineStr">
        <is>
          <t>Preliminary (100M run)</t>
        </is>
      </c>
      <c r="K241" t="inlineStr"/>
    </row>
    <row r="242">
      <c r="A242" t="inlineStr">
        <is>
          <t>value</t>
        </is>
      </c>
      <c r="B242" t="inlineStr">
        <is>
          <t>Best Snake vs no prefetching</t>
        </is>
      </c>
      <c r="C242" t="inlineStr">
        <is>
          <t>GMEAN, SnakeCharmer apps (5 workloads) | summary</t>
        </is>
      </c>
      <c r="D242" t="inlineStr">
        <is>
          <t>IPC gain</t>
        </is>
      </c>
      <c r="E242" s="14" t="n">
        <v>13.95856546766812</v>
      </c>
      <c r="F242" t="inlineStr">
        <is>
          <t>sim_run_snake_skm/qv100/runs/*/*/QV100-SASS-100M_INSN-SNAKE-SNAKE_FP1-SK_SC-SK_SC_CTA-SNAKE_HEAD64-SNAKE_MQR0-SNAKE_DM0 (5 jobs); no prefetching: sim_run_snake_skc/qv100_7apps + sim_run_snake_skc/qv100_sc/runs/*/*/QV100-SASS-100M_INSN</t>
        </is>
      </c>
      <c r="G242" t="inlineStr">
        <is>
          <t>GMEAN over 5 workloads of gpu_tot_ipc SK_R0_D0 / no prefetching - 1</t>
        </is>
      </c>
      <c r="H242" t="inlineStr">
        <is>
          <t>accelsim-commit-5d55de3_modified_0.0 gpgpu-sim_git-commit-9622012e_modified_0.0</t>
        </is>
      </c>
      <c r="I242">
        <f> 13.96 (SK_match_qv100.md Means (SnakeCharmer apps))</f>
        <v/>
      </c>
      <c r="J242" s="10" t="inlineStr">
        <is>
          <t>Preliminary (100M run)</t>
        </is>
      </c>
      <c r="K242" t="inlineStr"/>
    </row>
    <row r="243">
      <c r="A243" t="inlineStr">
        <is>
          <t>run dir</t>
        </is>
      </c>
      <c r="B243" t="inlineStr">
        <is>
          <t>sim_run_baseline</t>
        </is>
      </c>
      <c r="C243" t="inlineStr"/>
      <c r="D243" t="inlineStr"/>
      <c r="E243" s="14" t="n">
        <v>9</v>
      </c>
      <c r="F243" t="inlineStr">
        <is>
          <t>9 jobs used</t>
        </is>
      </c>
      <c r="G243" t="inlineStr"/>
      <c r="H243" t="inlineStr">
        <is>
          <t>accelsim-commit-2c3a333_modified_0.0 gpgpu-sim_git-commit-3f635b67_modified_0.0 (9 jobs)</t>
        </is>
      </c>
      <c r="I243" t="inlineStr"/>
      <c r="J243" t="inlineStr"/>
      <c r="K243" t="inlineStr">
        <is>
          <t>all build tags _modified_0.0</t>
        </is>
      </c>
    </row>
    <row r="244">
      <c r="A244" t="inlineStr">
        <is>
          <t>run dir</t>
        </is>
      </c>
      <c r="B244" t="inlineStr">
        <is>
          <t>sim_run_snake</t>
        </is>
      </c>
      <c r="C244" t="inlineStr"/>
      <c r="D244" t="inlineStr"/>
      <c r="E244" s="14" t="n">
        <v>9</v>
      </c>
      <c r="F244" t="inlineStr">
        <is>
          <t>9 jobs used</t>
        </is>
      </c>
      <c r="G244" t="inlineStr"/>
      <c r="H244" t="inlineStr">
        <is>
          <t>accelsim-commit-2c3a333_modified_0.0 gpgpu-sim_git-commit-3f635b67_modified_0.0 (9 jobs)</t>
        </is>
      </c>
      <c r="I244" t="inlineStr"/>
      <c r="J244" t="inlineStr"/>
      <c r="K244" t="inlineStr">
        <is>
          <t>all build tags _modified_0.0</t>
        </is>
      </c>
    </row>
    <row r="245">
      <c r="A245" t="inlineStr">
        <is>
          <t>run dir</t>
        </is>
      </c>
      <c r="B245" t="inlineStr">
        <is>
          <t>sim_run_snake_gate/D1_pl1d</t>
        </is>
      </c>
      <c r="C245" t="inlineStr"/>
      <c r="D245" t="inlineStr"/>
      <c r="E245" s="14" t="n">
        <v>9</v>
      </c>
      <c r="F245" t="inlineStr">
        <is>
          <t>9 jobs used</t>
        </is>
      </c>
      <c r="G245" t="inlineStr"/>
      <c r="H245" t="inlineStr">
        <is>
          <t>accelsim-commit-ac28769_modified_0.0 gpgpu-sim_git-commit-7ed7810e_modified_0.0 (9 jobs)</t>
        </is>
      </c>
      <c r="I245" t="inlineStr"/>
      <c r="J245" t="inlineStr"/>
      <c r="K245" t="inlineStr">
        <is>
          <t>all build tags _modified_0.0</t>
        </is>
      </c>
    </row>
    <row r="246">
      <c r="A246" t="inlineStr">
        <is>
          <t>run dir</t>
        </is>
      </c>
      <c r="B246" t="inlineStr">
        <is>
          <t>sim_run_snake_skc/qv100_7apps</t>
        </is>
      </c>
      <c r="C246" t="inlineStr"/>
      <c r="D246" t="inlineStr"/>
      <c r="E246" s="14" t="n">
        <v>9</v>
      </c>
      <c r="F246" t="inlineStr">
        <is>
          <t>9 jobs used</t>
        </is>
      </c>
      <c r="G246" t="inlineStr"/>
      <c r="H246" t="inlineStr">
        <is>
          <t>accelsim-commit-5d55de3_modified_0.0 gpgpu-sim_git-commit-9622012e_modified_0.0 (9 jobs)</t>
        </is>
      </c>
      <c r="I246" t="inlineStr"/>
      <c r="J246" t="inlineStr"/>
      <c r="K246" t="inlineStr">
        <is>
          <t>all build tags _modified_0.0</t>
        </is>
      </c>
    </row>
    <row r="247">
      <c r="A247" t="inlineStr">
        <is>
          <t>run dir</t>
        </is>
      </c>
      <c r="B247" t="inlineStr">
        <is>
          <t>sim_run_snake_skc/qv100_sc</t>
        </is>
      </c>
      <c r="C247" t="inlineStr"/>
      <c r="D247" t="inlineStr"/>
      <c r="E247" s="14" t="n">
        <v>5</v>
      </c>
      <c r="F247" t="inlineStr">
        <is>
          <t>5 jobs used</t>
        </is>
      </c>
      <c r="G247" t="inlineStr"/>
      <c r="H247" t="inlineStr">
        <is>
          <t>accelsim-commit-5d55de3_modified_0.0 gpgpu-sim_git-commit-9622012e_modified_0.0 (5 jobs)</t>
        </is>
      </c>
      <c r="I247" t="inlineStr"/>
      <c r="J247" t="inlineStr"/>
      <c r="K247" t="inlineStr">
        <is>
          <t>all build tags _modified_0.0</t>
        </is>
      </c>
    </row>
    <row r="248">
      <c r="A248" t="inlineStr">
        <is>
          <t>run dir</t>
        </is>
      </c>
      <c r="B248" t="inlineStr">
        <is>
          <t>sim_run_snake_skm/qv100</t>
        </is>
      </c>
      <c r="C248" t="inlineStr"/>
      <c r="D248" t="inlineStr"/>
      <c r="E248" s="14" t="n">
        <v>42</v>
      </c>
      <c r="F248" t="inlineStr">
        <is>
          <t>42 jobs used</t>
        </is>
      </c>
      <c r="G248" t="inlineStr"/>
      <c r="H248" t="inlineStr">
        <is>
          <t>accelsim-commit-5d55de3_modified_0.0 gpgpu-sim_git-commit-9622012e_modified_0.0 (42 jobs)</t>
        </is>
      </c>
      <c r="I248" t="inlineStr"/>
      <c r="J248" t="inlineStr"/>
      <c r="K248" t="inlineStr">
        <is>
          <t>all build tags _modified_0.0</t>
        </is>
      </c>
    </row>
    <row r="249">
      <c r="A249" t="inlineStr">
        <is>
          <t>source file</t>
        </is>
      </c>
      <c r="B249" t="inlineStr">
        <is>
          <t>docs/snake/results/final_tier1.md</t>
        </is>
      </c>
      <c r="C249" t="inlineStr"/>
      <c r="D249" t="inlineStr"/>
      <c r="E249" t="inlineStr"/>
      <c r="F249" t="inlineStr"/>
      <c r="G249" t="inlineStr">
        <is>
          <t>last commit</t>
        </is>
      </c>
      <c r="H249" t="inlineStr">
        <is>
          <t>03ad5bc 2026-10-16 snake: final evaluation Tier 1 results</t>
        </is>
      </c>
      <c r="I249" t="inlineStr"/>
      <c r="J249" t="inlineStr"/>
      <c r="K249" t="inlineStr"/>
    </row>
    <row r="250">
      <c r="A250" t="inlineStr">
        <is>
          <t>source file</t>
        </is>
      </c>
      <c r="B250" t="inlineStr">
        <is>
          <t>docs/snake/results/final_tier1.csv</t>
        </is>
      </c>
      <c r="C250" t="inlineStr"/>
      <c r="D250" t="inlineStr"/>
      <c r="E250" t="inlineStr"/>
      <c r="F250" t="inlineStr"/>
      <c r="G250" t="inlineStr">
        <is>
          <t>last commit</t>
        </is>
      </c>
      <c r="H250" t="inlineStr">
        <is>
          <t>ead2fa1 2026-10-16 snake: final evaluation Tier 1 per-job CSV (force-added; *.csv is ignored)</t>
        </is>
      </c>
      <c r="I250" t="inlineStr"/>
      <c r="J250" t="inlineStr"/>
      <c r="K250" t="inlineStr"/>
    </row>
    <row r="251">
      <c r="A251" t="inlineStr">
        <is>
          <t>source file</t>
        </is>
      </c>
      <c r="B251" t="inlineStr">
        <is>
          <t>docs/snake/results/D1_ceilings.md</t>
        </is>
      </c>
      <c r="C251" t="inlineStr"/>
      <c r="D251" t="inlineStr"/>
      <c r="E251" t="inlineStr"/>
      <c r="F251" t="inlineStr"/>
      <c r="G251" t="inlineStr">
        <is>
          <t>last commit</t>
        </is>
      </c>
      <c r="H251" t="inlineStr">
        <is>
          <t>dcad8dd 2026-10-16 D1: performance ceilings on exactly Snake's config</t>
        </is>
      </c>
      <c r="I251" t="inlineStr"/>
      <c r="J251" t="inlineStr"/>
      <c r="K251" t="inlineStr"/>
    </row>
    <row r="252">
      <c r="A252" t="inlineStr">
        <is>
          <t>source file</t>
        </is>
      </c>
      <c r="B252" t="inlineStr">
        <is>
          <t>docs/snake/results/SK_SC.md</t>
        </is>
      </c>
      <c r="C252" t="inlineStr"/>
      <c r="D252" t="inlineStr"/>
      <c r="E252" t="inlineStr"/>
      <c r="F252" t="inlineStr"/>
      <c r="G252" t="inlineStr">
        <is>
          <t>last commit</t>
        </is>
      </c>
      <c r="H252" t="inlineStr">
        <is>
          <t>4c3f058 2026-10-26 snake: SK_SC results</t>
        </is>
      </c>
      <c r="I252" t="inlineStr"/>
      <c r="J252" t="inlineStr"/>
      <c r="K252" t="inlineStr"/>
    </row>
    <row r="253">
      <c r="A253" t="inlineStr">
        <is>
          <t>source file</t>
        </is>
      </c>
      <c r="B253" t="inlineStr">
        <is>
          <t>docs/snake/results/SK_match_qv100.md</t>
        </is>
      </c>
      <c r="C253" t="inlineStr"/>
      <c r="D253" t="inlineStr"/>
      <c r="E253" t="inlineStr"/>
      <c r="F253" t="inlineStr"/>
      <c r="G253" t="inlineStr">
        <is>
          <t>last commit</t>
        </is>
      </c>
      <c r="H253" t="inlineStr">
        <is>
          <t>77e6f65 2026-10-27 snake: SK match Step 1 results</t>
        </is>
      </c>
      <c r="I253" t="inlineStr"/>
      <c r="J253" t="inlineStr"/>
      <c r="K253" t="inlineStr"/>
    </row>
    <row r="254">
      <c r="A254" t="inlineStr">
        <is>
          <t>source file</t>
        </is>
      </c>
      <c r="B254" t="inlineStr">
        <is>
          <t>docs/snake/SPEC.md</t>
        </is>
      </c>
      <c r="C254" t="inlineStr"/>
      <c r="D254" t="inlineStr"/>
      <c r="E254" t="inlineStr"/>
      <c r="F254" t="inlineStr"/>
      <c r="G254" t="inlineStr">
        <is>
          <t>last commit</t>
        </is>
      </c>
      <c r="H254" t="inlineStr">
        <is>
          <t>77e6f65 2026-10-27 snake: SK match Step 1 results</t>
        </is>
      </c>
      <c r="I254" t="inlineStr"/>
      <c r="J254" t="inlineStr"/>
      <c r="K254" t="inlineStr"/>
    </row>
    <row r="255">
      <c r="A255" t="inlineStr">
        <is>
          <t>tree</t>
        </is>
      </c>
      <c r="B255" t="inlineStr">
        <is>
          <t>accel-sim</t>
        </is>
      </c>
      <c r="C255" t="inlineStr"/>
      <c r="D255" t="inlineStr"/>
      <c r="E255" t="inlineStr"/>
      <c r="F255" t="inlineStr"/>
      <c r="G255" t="inlineStr">
        <is>
          <t>HEAD when generated</t>
        </is>
      </c>
      <c r="H255" t="inlineStr">
        <is>
          <t>77e6f65 (HEAD -&gt; Snake, myfork/Snake)</t>
        </is>
      </c>
      <c r="I255" t="inlineStr"/>
      <c r="J255" t="inlineStr"/>
      <c r="K255" t="inlineStr"/>
    </row>
    <row r="256">
      <c r="A256" t="inlineStr">
        <is>
          <t>tree</t>
        </is>
      </c>
      <c r="B256" t="inlineStr">
        <is>
          <t>gpgpu-sim</t>
        </is>
      </c>
      <c r="C256" t="inlineStr"/>
      <c r="D256" t="inlineStr"/>
      <c r="E256" t="inlineStr"/>
      <c r="F256" t="inlineStr"/>
      <c r="G256" t="inlineStr">
        <is>
          <t>HEAD when generated</t>
        </is>
      </c>
      <c r="H256" t="inlineStr">
        <is>
          <t>9622012e (HEAD -&gt; Snake, backup/Snake)</t>
        </is>
      </c>
      <c r="I256" t="inlineStr"/>
      <c r="J256" t="inlineStr"/>
      <c r="K256" t="inlineStr"/>
    </row>
    <row r="257">
      <c r="A257" t="inlineStr">
        <is>
          <t>chart</t>
        </is>
      </c>
      <c r="B257" t="inlineStr">
        <is>
          <t>slide1_ipc_vs_paper_2026-10-27.png</t>
        </is>
      </c>
      <c r="C257" t="inlineStr"/>
      <c r="D257" t="inlineStr"/>
      <c r="E257" t="inlineStr"/>
      <c r="F257" t="inlineStr">
        <is>
          <t>values of sheet 'vs Snake paper'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chart</t>
        </is>
      </c>
      <c r="B258" t="inlineStr">
        <is>
          <t>slide2_timeliness_2026-10-27.png</t>
        </is>
      </c>
      <c r="C258" t="inlineStr"/>
      <c r="D258" t="inlineStr"/>
      <c r="E258" t="inlineStr"/>
      <c r="F258" t="inlineStr">
        <is>
          <t>values of sheet 'vs SnakeCharmer'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chart</t>
        </is>
      </c>
      <c r="B259" t="inlineStr">
        <is>
          <t>slide3_per100_fills_2026-10-27.png</t>
        </is>
      </c>
      <c r="C259" t="inlineStr"/>
      <c r="D259" t="inlineStr"/>
      <c r="E259" t="inlineStr"/>
      <c r="F259" t="inlineStr">
        <is>
          <t>values of sheet 'Per 100 prefetched sectors'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chart</t>
        </is>
      </c>
      <c r="B260" t="inlineStr">
        <is>
          <t>slide4_best_snake_ipc_2026-10-27.png</t>
        </is>
      </c>
      <c r="C260" t="inlineStr"/>
      <c r="D260" t="inlineStr"/>
      <c r="E260" t="inlineStr"/>
      <c r="F260" t="inlineStr">
        <is>
          <t>values of sheet 'Best Snake vs no prefetching'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cross-check</t>
        </is>
      </c>
      <c r="B261" t="inlineStr">
        <is>
          <t>D1_ceilings.md §5 PAPER_V100</t>
        </is>
      </c>
      <c r="C261" t="inlineStr"/>
      <c r="D261" t="inlineStr"/>
      <c r="E261" s="14" t="n">
        <v>30</v>
      </c>
      <c r="F261" t="inlineStr">
        <is>
          <t>30 compared, 0 mismatches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cross-check</t>
        </is>
      </c>
      <c r="B262" t="inlineStr">
        <is>
          <t>SK_SC.md §4 vs the task brief (acc)</t>
        </is>
      </c>
      <c r="C262" t="inlineStr"/>
      <c r="D262" t="inlineStr"/>
      <c r="E262" s="14" t="n">
        <v>1</v>
      </c>
      <c r="F262" t="inlineStr">
        <is>
          <t>1 compared, 0 mismatches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cross-check</t>
        </is>
      </c>
      <c r="B263" t="inlineStr">
        <is>
          <t>SK_SC.md §4 vs the task brief (cov)</t>
        </is>
      </c>
      <c r="C263" t="inlineStr"/>
      <c r="D263" t="inlineStr"/>
      <c r="E263" s="14" t="n">
        <v>1</v>
      </c>
      <c r="F263" t="inlineStr">
        <is>
          <t>1 compared, 0 mismatches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cross-check</t>
        </is>
      </c>
      <c r="B264" t="inlineStr">
        <is>
          <t>SK_SC.md §4 vs the task brief (early)</t>
        </is>
      </c>
      <c r="C264" t="inlineStr"/>
      <c r="D264" t="inlineStr"/>
      <c r="E264" s="14" t="n">
        <v>1</v>
      </c>
      <c r="F264" t="inlineStr">
        <is>
          <t>1 compared, 0 mismatches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cross-check</t>
        </is>
      </c>
      <c r="B265" t="inlineStr">
        <is>
          <t>SK_SC.md §4 vs the task brief (late)</t>
        </is>
      </c>
      <c r="C265" t="inlineStr"/>
      <c r="D265" t="inlineStr"/>
      <c r="E265" s="14" t="n">
        <v>1</v>
      </c>
      <c r="F265" t="inlineStr">
        <is>
          <t>1 compared, 0 mismatches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cross-check</t>
        </is>
      </c>
      <c r="B266" t="inlineStr">
        <is>
          <t>SK_SC.md §4 vs the task brief (on)</t>
        </is>
      </c>
      <c r="C266" t="inlineStr"/>
      <c r="D266" t="inlineStr"/>
      <c r="E266" s="14" t="n">
        <v>1</v>
      </c>
      <c r="F266" t="inlineStr">
        <is>
          <t>1 compared, 0 mismatches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cross-check</t>
        </is>
      </c>
      <c r="B267" t="inlineStr">
        <is>
          <t>SK_match_qv100.md Means</t>
        </is>
      </c>
      <c r="C267" t="inlineStr"/>
      <c r="D267" t="inlineStr"/>
      <c r="E267" s="14" t="n">
        <v>48</v>
      </c>
      <c r="F267" t="inlineStr">
        <is>
          <t>48 compared, 0 mismatches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cross-check</t>
        </is>
      </c>
      <c r="B268" t="inlineStr">
        <is>
          <t>SK_match_qv100.md Means (7 apps)</t>
        </is>
      </c>
      <c r="C268" t="inlineStr"/>
      <c r="D268" t="inlineStr"/>
      <c r="E268" s="14" t="n">
        <v>1</v>
      </c>
      <c r="F268" t="inlineStr">
        <is>
          <t>1 compared, 0 mismatches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cross-check</t>
        </is>
      </c>
      <c r="B269" t="inlineStr">
        <is>
          <t>SK_match_qv100.md Means (SnakeCharmer apps)</t>
        </is>
      </c>
      <c r="C269" t="inlineStr"/>
      <c r="D269" t="inlineStr"/>
      <c r="E269" s="14" t="n">
        <v>1</v>
      </c>
      <c r="F269" t="inlineStr">
        <is>
          <t>1 compared, 0 mismatches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cross-check</t>
        </is>
      </c>
      <c r="B270" t="inlineStr">
        <is>
          <t>SK_match_qv100.md Means (all)</t>
        </is>
      </c>
      <c r="C270" t="inlineStr"/>
      <c r="D270" t="inlineStr"/>
      <c r="E270" s="14" t="n">
        <v>1</v>
      </c>
      <c r="F270" t="inlineStr">
        <is>
          <t>1 compared, 0 mismatches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cross-check</t>
        </is>
      </c>
      <c r="B271" t="inlineStr">
        <is>
          <t>SK_match_qv100.md Means SnakeCharmer row</t>
        </is>
      </c>
      <c r="C271" t="inlineStr"/>
      <c r="D271" t="inlineStr"/>
      <c r="E271" s="14" t="n">
        <v>5</v>
      </c>
      <c r="F271" t="inlineStr">
        <is>
          <t>5 compared, 0 mismatches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cross-check</t>
        </is>
      </c>
      <c r="B272" t="inlineStr">
        <is>
          <t>SK_match_qv100.md Means n</t>
        </is>
      </c>
      <c r="C272" t="inlineStr"/>
      <c r="D272" t="inlineStr"/>
      <c r="E272" s="14" t="n">
        <v>6</v>
      </c>
      <c r="F272" t="inlineStr">
        <is>
          <t>6 compared, 0 mismatches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cross-check</t>
        </is>
      </c>
      <c r="B273" t="inlineStr">
        <is>
          <t>SK_match_qv100.md Per workload</t>
        </is>
      </c>
      <c r="C273" t="inlineStr"/>
      <c r="D273" t="inlineStr"/>
      <c r="E273" s="14" t="n">
        <v>14</v>
      </c>
      <c r="F273" t="inlineStr">
        <is>
          <t>14 compared, 0 mismatches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cross-check</t>
        </is>
      </c>
      <c r="B274" t="inlineStr">
        <is>
          <t>final_tier1.csv ipc (QV100-SASS-PAPER_V100-1B_INSN)</t>
        </is>
      </c>
      <c r="C274" t="inlineStr"/>
      <c r="D274" t="inlineStr"/>
      <c r="E274" s="14" t="n">
        <v>9</v>
      </c>
      <c r="F274" t="inlineStr">
        <is>
          <t>9 compared, 0 mismatches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cross-check</t>
        </is>
      </c>
      <c r="B275" t="inlineStr">
        <is>
          <t>final_tier1.csv ipc (QV100-SASS-PAPER_V100-1B_INSN-SNAKE-SNAKE_FP1)</t>
        </is>
      </c>
      <c r="C275" t="inlineStr"/>
      <c r="D275" t="inlineStr"/>
      <c r="E275" s="14" t="n">
        <v>9</v>
      </c>
      <c r="F275" t="inlineStr">
        <is>
          <t>9 compared, 0 mismatches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cross-check</t>
        </is>
      </c>
      <c r="B276" t="inlineStr">
        <is>
          <t>final_tier1.csv l1_hit_rate</t>
        </is>
      </c>
      <c r="C276" t="inlineStr"/>
      <c r="D276" t="inlineStr"/>
      <c r="E276" s="14" t="n">
        <v>18</v>
      </c>
      <c r="F276" t="inlineStr">
        <is>
          <t>18 compared, 0 mismatches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cross-check</t>
        </is>
      </c>
      <c r="B277" t="inlineStr">
        <is>
          <t>final_tier1.md §3</t>
        </is>
      </c>
      <c r="C277" t="inlineStr"/>
      <c r="D277" t="inlineStr"/>
      <c r="E277" s="14" t="n">
        <v>92</v>
      </c>
      <c r="F277" t="inlineStr">
        <is>
          <t>92 compared, 0 mismatches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cross-check</t>
        </is>
      </c>
      <c r="B278" t="inlineStr">
        <is>
          <t>run finished, invariants OK</t>
        </is>
      </c>
      <c r="C278" t="inlineStr"/>
      <c r="D278" t="inlineStr"/>
      <c r="E278" s="14" t="n">
        <v>57</v>
      </c>
      <c r="F278" t="inlineStr">
        <is>
          <t>57 compared, 0 mismatches</t>
        </is>
      </c>
      <c r="G278" t="inlineStr"/>
      <c r="H278" t="inlineStr"/>
      <c r="I278" t="inlineStr"/>
      <c r="J278" t="inlineStr"/>
      <c r="K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2026-10-27T13:48:39Z</dcterms:created>
  <dcterms:modified xsi:type="dcterms:W3CDTF">2026-10-27T13:48:39Z</dcterms:modified>
</cp:coreProperties>
</file>